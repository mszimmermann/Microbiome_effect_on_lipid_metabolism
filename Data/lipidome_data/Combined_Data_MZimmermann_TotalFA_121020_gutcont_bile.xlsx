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L:\TUM-PC\Desktop\Experiments\2020_03_10_Zimmermann_Flux\"/>
    </mc:Choice>
  </mc:AlternateContent>
  <xr:revisionPtr revIDLastSave="0" documentId="13_ncr:1_{29CF0D48-29CF-4F4D-87FF-5A67E9FA321D}" xr6:coauthVersionLast="45" xr6:coauthVersionMax="45" xr10:uidLastSave="{00000000-0000-0000-0000-000000000000}"/>
  <bookViews>
    <workbookView xWindow="-108" yWindow="-108" windowWidth="23256" windowHeight="12576" activeTab="1" xr2:uid="{00000000-000D-0000-FFFF-FFFF00000000}"/>
  </bookViews>
  <sheets>
    <sheet name="March 2020 Data" sheetId="3" r:id="rId1"/>
    <sheet name="Oct 2020 Bile fluid" sheetId="4" r:id="rId2"/>
    <sheet name="Oct 2020 gut contents" sheetId="5" r:id="rId3"/>
  </sheets>
  <externalReferences>
    <externalReference r:id="rId4"/>
  </externalReferences>
  <definedNames>
    <definedName name="_xlnm.Print_Titles" localSheetId="0">'March 2020 Data'!$A:$A,'March 2020 Data'!$1:$1</definedName>
    <definedName name="サンプル種">[1]input!$E$3:$E$7</definedName>
    <definedName name="凍結の有無">[1]input!$J$3:$J$6</definedName>
    <definedName name="動物種">[1]input!$C$3:$C$9</definedName>
    <definedName name="抗凝固剤">[1]input!$I$3:$I$6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82" i="5" l="1"/>
  <c r="I181" i="5"/>
  <c r="I185" i="5"/>
  <c r="I184" i="5"/>
  <c r="I183" i="5"/>
  <c r="I168" i="5"/>
  <c r="I167" i="5"/>
  <c r="I171" i="5"/>
  <c r="I170" i="5"/>
  <c r="I169" i="5"/>
  <c r="I153" i="5"/>
  <c r="I152" i="5"/>
  <c r="I156" i="5"/>
  <c r="I155" i="5"/>
  <c r="I154" i="5"/>
  <c r="I142" i="5"/>
  <c r="I180" i="5"/>
  <c r="I179" i="5"/>
  <c r="I177" i="5"/>
  <c r="I176" i="5"/>
  <c r="I178" i="5"/>
  <c r="I166" i="5"/>
  <c r="I165" i="5"/>
  <c r="I163" i="5"/>
  <c r="I162" i="5"/>
  <c r="I164" i="5"/>
  <c r="I150" i="5"/>
  <c r="I151" i="5"/>
  <c r="I149" i="5"/>
  <c r="I148" i="5"/>
  <c r="I141" i="5"/>
  <c r="I172" i="5"/>
  <c r="I175" i="5"/>
  <c r="I174" i="5"/>
  <c r="I173" i="5"/>
  <c r="I158" i="5"/>
  <c r="I157" i="5"/>
  <c r="I161" i="5"/>
  <c r="I160" i="5"/>
  <c r="I159" i="5"/>
  <c r="I144" i="5"/>
  <c r="I143" i="5"/>
  <c r="I147" i="5"/>
  <c r="I146" i="5"/>
  <c r="I145" i="5"/>
  <c r="I140" i="5"/>
  <c r="I136" i="5"/>
  <c r="I135" i="5"/>
  <c r="I139" i="5"/>
  <c r="I138" i="5"/>
  <c r="I137" i="5"/>
  <c r="I122" i="5"/>
  <c r="I121" i="5"/>
  <c r="I125" i="5"/>
  <c r="I124" i="5"/>
  <c r="I123" i="5"/>
  <c r="I107" i="5"/>
  <c r="I106" i="5"/>
  <c r="I110" i="5"/>
  <c r="I109" i="5"/>
  <c r="I108" i="5"/>
  <c r="I96" i="5"/>
  <c r="I134" i="5"/>
  <c r="I133" i="5"/>
  <c r="I131" i="5"/>
  <c r="I130" i="5"/>
  <c r="I132" i="5"/>
  <c r="I120" i="5"/>
  <c r="I119" i="5"/>
  <c r="I117" i="5"/>
  <c r="I116" i="5"/>
  <c r="I118" i="5"/>
  <c r="I104" i="5"/>
  <c r="I105" i="5"/>
  <c r="I103" i="5"/>
  <c r="I102" i="5"/>
  <c r="I95" i="5"/>
  <c r="I126" i="5"/>
  <c r="I129" i="5"/>
  <c r="I128" i="5"/>
  <c r="I127" i="5"/>
  <c r="I112" i="5"/>
  <c r="I111" i="5"/>
  <c r="I115" i="5"/>
  <c r="I114" i="5"/>
  <c r="I113" i="5"/>
  <c r="I98" i="5"/>
  <c r="I97" i="5"/>
  <c r="I101" i="5"/>
  <c r="I100" i="5"/>
  <c r="I99" i="5"/>
  <c r="I94" i="5"/>
  <c r="I90" i="5"/>
  <c r="I89" i="5"/>
  <c r="I93" i="5"/>
  <c r="I92" i="5"/>
  <c r="I91" i="5"/>
  <c r="I76" i="5"/>
  <c r="I75" i="5"/>
  <c r="I79" i="5"/>
  <c r="I78" i="5"/>
  <c r="I77" i="5"/>
  <c r="I61" i="5"/>
  <c r="I60" i="5"/>
  <c r="I64" i="5"/>
  <c r="I63" i="5"/>
  <c r="I62" i="5"/>
  <c r="I50" i="5"/>
  <c r="I88" i="5"/>
  <c r="I87" i="5"/>
  <c r="I85" i="5"/>
  <c r="I84" i="5"/>
  <c r="I86" i="5"/>
  <c r="I74" i="5"/>
  <c r="I73" i="5"/>
  <c r="I71" i="5"/>
  <c r="I70" i="5"/>
  <c r="I72" i="5"/>
  <c r="I58" i="5"/>
  <c r="I59" i="5"/>
  <c r="I57" i="5"/>
  <c r="I56" i="5"/>
  <c r="I49" i="5"/>
  <c r="I80" i="5"/>
  <c r="I83" i="5"/>
  <c r="I82" i="5"/>
  <c r="I81" i="5"/>
  <c r="I66" i="5"/>
  <c r="I65" i="5"/>
  <c r="I69" i="5"/>
  <c r="I68" i="5"/>
  <c r="I67" i="5"/>
  <c r="I52" i="5"/>
  <c r="I51" i="5"/>
  <c r="I55" i="5"/>
  <c r="I54" i="5"/>
  <c r="I53" i="5"/>
  <c r="I48" i="5"/>
  <c r="I44" i="5"/>
  <c r="I43" i="5"/>
  <c r="I47" i="5"/>
  <c r="I46" i="5"/>
  <c r="I45" i="5"/>
  <c r="I30" i="5"/>
  <c r="I29" i="5"/>
  <c r="I33" i="5"/>
  <c r="I32" i="5"/>
  <c r="I31" i="5"/>
  <c r="I15" i="5"/>
  <c r="I14" i="5"/>
  <c r="I18" i="5"/>
  <c r="I17" i="5"/>
  <c r="I16" i="5"/>
  <c r="I4" i="5"/>
  <c r="I41" i="5"/>
  <c r="I39" i="5"/>
  <c r="I38" i="5"/>
  <c r="I42" i="5"/>
  <c r="I40" i="5"/>
  <c r="I28" i="5"/>
  <c r="I27" i="5"/>
  <c r="I25" i="5"/>
  <c r="I24" i="5"/>
  <c r="I26" i="5"/>
  <c r="I13" i="5"/>
  <c r="I11" i="5"/>
  <c r="I10" i="5"/>
  <c r="I12" i="5"/>
  <c r="I3" i="5"/>
  <c r="I34" i="5"/>
  <c r="I37" i="5"/>
  <c r="I36" i="5"/>
  <c r="I35" i="5"/>
  <c r="I20" i="5"/>
  <c r="I19" i="5"/>
  <c r="I23" i="5"/>
  <c r="I22" i="5"/>
  <c r="I21" i="5"/>
  <c r="I6" i="5"/>
  <c r="I5" i="5"/>
  <c r="I9" i="5"/>
  <c r="I8" i="5"/>
  <c r="I7" i="5"/>
  <c r="I2" i="5"/>
  <c r="H42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H2" i="4"/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2" i="3"/>
</calcChain>
</file>

<file path=xl/sharedStrings.xml><?xml version="1.0" encoding="utf-8"?>
<sst xmlns="http://schemas.openxmlformats.org/spreadsheetml/2006/main" count="4203" uniqueCount="1475">
  <si>
    <t>Housing</t>
  </si>
  <si>
    <t>Time (h)</t>
  </si>
  <si>
    <t>FA10:0</t>
  </si>
  <si>
    <t>FA12:0</t>
  </si>
  <si>
    <t>FA14:0</t>
  </si>
  <si>
    <t>FA15:0</t>
  </si>
  <si>
    <t>FA 16:0 mz270</t>
  </si>
  <si>
    <t>FA17:0</t>
  </si>
  <si>
    <t>FA18:0 mz298</t>
  </si>
  <si>
    <t>FA18:0 mz303</t>
  </si>
  <si>
    <t>FA18:0 mz329</t>
  </si>
  <si>
    <t>FA20:0</t>
  </si>
  <si>
    <t>FA22:0</t>
  </si>
  <si>
    <t>Colon</t>
  </si>
  <si>
    <t>Duodenum</t>
  </si>
  <si>
    <t>Ileum</t>
  </si>
  <si>
    <t>Jejunum</t>
  </si>
  <si>
    <t>Liver</t>
  </si>
  <si>
    <t>Lung</t>
  </si>
  <si>
    <t>FAME TY253 A</t>
  </si>
  <si>
    <t>GF</t>
  </si>
  <si>
    <t>GF5</t>
  </si>
  <si>
    <t>FAME TY 715 A</t>
  </si>
  <si>
    <t>GF11</t>
  </si>
  <si>
    <t>FAME TY 730 A</t>
  </si>
  <si>
    <t>GF12</t>
  </si>
  <si>
    <t>FAME TY154 A</t>
  </si>
  <si>
    <t>GF1</t>
  </si>
  <si>
    <t>FAME TY218 A</t>
  </si>
  <si>
    <t>GF3</t>
  </si>
  <si>
    <t>FAME TY233 A</t>
  </si>
  <si>
    <t>GF4</t>
  </si>
  <si>
    <t>FAME TY 760 A</t>
  </si>
  <si>
    <t>GF13</t>
  </si>
  <si>
    <t>FAME TY 775 A</t>
  </si>
  <si>
    <t>GF14</t>
  </si>
  <si>
    <t>FAME TY186 A</t>
  </si>
  <si>
    <t>GF2</t>
  </si>
  <si>
    <t>FAME TY263 A</t>
  </si>
  <si>
    <t>GF6</t>
  </si>
  <si>
    <t>FAME TY278 A</t>
  </si>
  <si>
    <t>GF7</t>
  </si>
  <si>
    <t>FAME TY 820 A</t>
  </si>
  <si>
    <t>GF15</t>
  </si>
  <si>
    <t>FAME TY338 A</t>
  </si>
  <si>
    <t>GF10</t>
  </si>
  <si>
    <t>FAME TY308 A</t>
  </si>
  <si>
    <t>GF8</t>
  </si>
  <si>
    <t>FAME TY323 A</t>
  </si>
  <si>
    <t>GF9</t>
  </si>
  <si>
    <t>FAME TY245 A</t>
  </si>
  <si>
    <t>FAME TY 712 A</t>
  </si>
  <si>
    <t>FAME TY 727 A</t>
  </si>
  <si>
    <t>FAME TY153 A</t>
  </si>
  <si>
    <t>FAME TY215 A</t>
  </si>
  <si>
    <t>FAME TY230 A</t>
  </si>
  <si>
    <t>FAME TY 757 A</t>
  </si>
  <si>
    <t>FAME TY 772 A</t>
  </si>
  <si>
    <t>FAME TY185 A</t>
  </si>
  <si>
    <t>FAME TY260 A</t>
  </si>
  <si>
    <t>FAME TY275 A</t>
  </si>
  <si>
    <t>FAME TY 817 A</t>
  </si>
  <si>
    <t>FAME TY335 A</t>
  </si>
  <si>
    <t>FAME TY305 A</t>
  </si>
  <si>
    <t>FAME TY320 A</t>
  </si>
  <si>
    <t>FAME TY247 A</t>
  </si>
  <si>
    <t>FAME TY 714 A</t>
  </si>
  <si>
    <t>FAME TY 729 A</t>
  </si>
  <si>
    <t>FAME TY151 A</t>
  </si>
  <si>
    <t>FAME TY217 A</t>
  </si>
  <si>
    <t>FAME TY232 A</t>
  </si>
  <si>
    <t>FAME TY 759 A</t>
  </si>
  <si>
    <t>FAME TY 774 A</t>
  </si>
  <si>
    <t>FAME TY183 A</t>
  </si>
  <si>
    <t>FAME TY262 A</t>
  </si>
  <si>
    <t>FAME TY277 A</t>
  </si>
  <si>
    <t>FAME TY 819 A</t>
  </si>
  <si>
    <t>FAME TY337 A</t>
  </si>
  <si>
    <t>FAME TY307 A</t>
  </si>
  <si>
    <t>FAME TY322 A</t>
  </si>
  <si>
    <t>FAME TY246 A</t>
  </si>
  <si>
    <t>FAME TY 713 A</t>
  </si>
  <si>
    <t>FAME TY 728 A</t>
  </si>
  <si>
    <t>FAME TY152 A</t>
  </si>
  <si>
    <t>FAME TY216 A</t>
  </si>
  <si>
    <t>FAME TY231 A</t>
  </si>
  <si>
    <t>FAME TY 758 A</t>
  </si>
  <si>
    <t>FAME TY 773 A</t>
  </si>
  <si>
    <t>FAME TY184 A</t>
  </si>
  <si>
    <t>FAME TY261 A</t>
  </si>
  <si>
    <t>FAME TY276 A</t>
  </si>
  <si>
    <t>FAME TY 818 A</t>
  </si>
  <si>
    <t>FAME TY336 A</t>
  </si>
  <si>
    <t>FAME TY306 A</t>
  </si>
  <si>
    <t>FAME TY321 A</t>
  </si>
  <si>
    <t>FAME TY240 A</t>
  </si>
  <si>
    <t>FAME TY146 A</t>
  </si>
  <si>
    <t>FAME TY210 A</t>
  </si>
  <si>
    <t>FAME TY225 A</t>
  </si>
  <si>
    <t>FAME TY 707 A</t>
  </si>
  <si>
    <t>FAME TY178 A</t>
  </si>
  <si>
    <t>FAME TY255 A</t>
  </si>
  <si>
    <t>FAME TY270 A</t>
  </si>
  <si>
    <t>FAME TY 752 A</t>
  </si>
  <si>
    <t>FAME TY 767 A</t>
  </si>
  <si>
    <t>FAME TY330 A</t>
  </si>
  <si>
    <t>FAME TY300 A</t>
  </si>
  <si>
    <t>FAME TY315 A</t>
  </si>
  <si>
    <t>FAME TY 812 A</t>
  </si>
  <si>
    <t>FAME TY241 A</t>
  </si>
  <si>
    <t>FAME TY 708 A</t>
  </si>
  <si>
    <t>FAME TY 723 A</t>
  </si>
  <si>
    <t>FAME TY147 A</t>
  </si>
  <si>
    <t>FAME TY211 A</t>
  </si>
  <si>
    <t>FAME TY226 A</t>
  </si>
  <si>
    <t>FAME TY 753 A</t>
  </si>
  <si>
    <t>FAME TY 768 A</t>
  </si>
  <si>
    <t>FAME TY179 A</t>
  </si>
  <si>
    <t>FAME TY256 A</t>
  </si>
  <si>
    <t>FAME TY271 A</t>
  </si>
  <si>
    <t>FAME TY 813 A</t>
  </si>
  <si>
    <t>FAME TY331 A</t>
  </si>
  <si>
    <t>FAME TY301 A</t>
  </si>
  <si>
    <t>FAME TY316 A</t>
  </si>
  <si>
    <t>FAME PL 734_Lab A</t>
  </si>
  <si>
    <t>Plasma</t>
  </si>
  <si>
    <t>FAME PL 759 A</t>
  </si>
  <si>
    <t>FAME PL 760 A</t>
  </si>
  <si>
    <t>FAME PL 728_Lab A</t>
  </si>
  <si>
    <t>FAME PL 732_Lab A</t>
  </si>
  <si>
    <t>FAME PL 733_Lab A</t>
  </si>
  <si>
    <t>FAME PL 762 A</t>
  </si>
  <si>
    <t>FAME PL 763 A</t>
  </si>
  <si>
    <t>FAME PL 730_Lab A</t>
  </si>
  <si>
    <t>FAME PL 735_Lab A</t>
  </si>
  <si>
    <t>FAME PL 736_Lab A</t>
  </si>
  <si>
    <t>FAME PL 738 A</t>
  </si>
  <si>
    <t>FAME PL 766 A</t>
  </si>
  <si>
    <t>FAME PL 739_Lab A</t>
  </si>
  <si>
    <t>FAME PL 740_Lab A</t>
  </si>
  <si>
    <t>FAME TY106 A</t>
  </si>
  <si>
    <t>OMM6</t>
  </si>
  <si>
    <t>FAME TY26 A</t>
  </si>
  <si>
    <t>OMM1</t>
  </si>
  <si>
    <t>FAME TY138 A</t>
  </si>
  <si>
    <t>OMM8</t>
  </si>
  <si>
    <t>OMM12</t>
  </si>
  <si>
    <t>FAME TY 655 Retry A</t>
  </si>
  <si>
    <t>FAME TY 700 A</t>
  </si>
  <si>
    <t>OMM13</t>
  </si>
  <si>
    <t>FAME TY42 A</t>
  </si>
  <si>
    <t>OMM2</t>
  </si>
  <si>
    <t>FAME TY58 A</t>
  </si>
  <si>
    <t>OMM3</t>
  </si>
  <si>
    <t>FAME TY170 A</t>
  </si>
  <si>
    <t>OMM9</t>
  </si>
  <si>
    <t>FAME TY 640 A</t>
  </si>
  <si>
    <t>OMM11</t>
  </si>
  <si>
    <t>FAME TY 745 A</t>
  </si>
  <si>
    <t>OMM14</t>
  </si>
  <si>
    <t>FAME TY202 A</t>
  </si>
  <si>
    <t>OMM10</t>
  </si>
  <si>
    <t>FAME TY74 A</t>
  </si>
  <si>
    <t>OMM4</t>
  </si>
  <si>
    <t>FAME TY90 A</t>
  </si>
  <si>
    <t>OMM5</t>
  </si>
  <si>
    <t>FAME TY 790 A</t>
  </si>
  <si>
    <t>OMM15</t>
  </si>
  <si>
    <t>FAME TY 805 A</t>
  </si>
  <si>
    <t>OMM16</t>
  </si>
  <si>
    <t>FAME TY105 A</t>
  </si>
  <si>
    <t>FAME TY25 A</t>
  </si>
  <si>
    <t>FAME TY137 A</t>
  </si>
  <si>
    <t>FAME TY 652 A</t>
  </si>
  <si>
    <t>FAME TY 697 A</t>
  </si>
  <si>
    <t>FAME TY41 A</t>
  </si>
  <si>
    <t>FAME TY57 A</t>
  </si>
  <si>
    <t>FAME TY169 A</t>
  </si>
  <si>
    <t>FAME TY 637 A</t>
  </si>
  <si>
    <t>FAME TY 742 A</t>
  </si>
  <si>
    <t>FAME TY201 A</t>
  </si>
  <si>
    <t>FAME TY73 A</t>
  </si>
  <si>
    <t>FAME TY89 A</t>
  </si>
  <si>
    <t>FAME TY 787 A</t>
  </si>
  <si>
    <t>FAME TY 802 A</t>
  </si>
  <si>
    <t>FAME TY103 A</t>
  </si>
  <si>
    <t>FAME TY23 A</t>
  </si>
  <si>
    <t>FAME TY135 A</t>
  </si>
  <si>
    <t>FAME TY 654 A</t>
  </si>
  <si>
    <t>FAME TY 699 A</t>
  </si>
  <si>
    <t>FAME TY39 A</t>
  </si>
  <si>
    <t>FAME TY55 A</t>
  </si>
  <si>
    <t>FAME TY167 A</t>
  </si>
  <si>
    <t>FAME TY 639 A</t>
  </si>
  <si>
    <t>FAME TY 744 A</t>
  </si>
  <si>
    <t>FAME TY199 A</t>
  </si>
  <si>
    <t>FAME TY71 A</t>
  </si>
  <si>
    <t>FAME TY87 A</t>
  </si>
  <si>
    <t>FAME TY 789 A</t>
  </si>
  <si>
    <t>FAME TY 804 A</t>
  </si>
  <si>
    <t>FAME TY104 A</t>
  </si>
  <si>
    <t>FAME TY24 A</t>
  </si>
  <si>
    <t>FAME TY136 A</t>
  </si>
  <si>
    <t>FAME TY 653 A</t>
  </si>
  <si>
    <t>FAME TY 698 A</t>
  </si>
  <si>
    <t>FAME TY40 A</t>
  </si>
  <si>
    <t>FAME TY56 A</t>
  </si>
  <si>
    <t>FAME TY168 A</t>
  </si>
  <si>
    <t>FAME TY 638 A</t>
  </si>
  <si>
    <t>FAME TY 743 A</t>
  </si>
  <si>
    <t>FAME TY200 A</t>
  </si>
  <si>
    <t>FAME TY72 A</t>
  </si>
  <si>
    <t>FAME TY88 A</t>
  </si>
  <si>
    <t>FAME TY 788 A</t>
  </si>
  <si>
    <t>FAME TY 803 A</t>
  </si>
  <si>
    <t>FAME TY98 A</t>
  </si>
  <si>
    <t>FAME TY18 A</t>
  </si>
  <si>
    <t>FAME TY130 A</t>
  </si>
  <si>
    <t>FAME TY 647 A</t>
  </si>
  <si>
    <t>FAME TY 692 A</t>
  </si>
  <si>
    <t>FAME TY34 A</t>
  </si>
  <si>
    <t>FAME TY50 A</t>
  </si>
  <si>
    <t>FAME TY162 A</t>
  </si>
  <si>
    <t>FAME TY 632 A</t>
  </si>
  <si>
    <t>FAME TY 737 A</t>
  </si>
  <si>
    <t>FAME TY194 A</t>
  </si>
  <si>
    <t>FAME TY66 A</t>
  </si>
  <si>
    <t>FAME TY82 A</t>
  </si>
  <si>
    <t>FAME TY 782 A</t>
  </si>
  <si>
    <t>FAME TY 797 A</t>
  </si>
  <si>
    <t>FAME TY99 A</t>
  </si>
  <si>
    <t>FAME TY19 A</t>
  </si>
  <si>
    <t>FAME TY131 A</t>
  </si>
  <si>
    <t>FAME TY 648 A</t>
  </si>
  <si>
    <t>FAME TY 693 A</t>
  </si>
  <si>
    <t>FAME TY35 A</t>
  </si>
  <si>
    <t>FAME TY51 A</t>
  </si>
  <si>
    <t>FAME TY163 A</t>
  </si>
  <si>
    <t>FAME TY 633 A</t>
  </si>
  <si>
    <t>FAME TY 738 A</t>
  </si>
  <si>
    <t>FAME TY195 A</t>
  </si>
  <si>
    <t>FAME TY67 A</t>
  </si>
  <si>
    <t>FAME TY83 A</t>
  </si>
  <si>
    <t>FAME TY 783 A</t>
  </si>
  <si>
    <t>FAME TY 798 A</t>
  </si>
  <si>
    <t>FAME PL 725_Lab A</t>
  </si>
  <si>
    <t>FAME PL 720_Lab A</t>
  </si>
  <si>
    <t>FAME PL 727_Lab A</t>
  </si>
  <si>
    <t>FAME PL 755 A</t>
  </si>
  <si>
    <t>FAME PL 758 A</t>
  </si>
  <si>
    <t>FAME PL 721_Lab A</t>
  </si>
  <si>
    <t>FAME PL 722_Lab A</t>
  </si>
  <si>
    <t>FAME PL 729_Lab A</t>
  </si>
  <si>
    <t>FAME PL 754 A</t>
  </si>
  <si>
    <t>FAME PL 761 A</t>
  </si>
  <si>
    <t>FAME PL 723_Lab A</t>
  </si>
  <si>
    <t>FAME PL 724_Lab A</t>
  </si>
  <si>
    <t>FAME PL 731_Lab A</t>
  </si>
  <si>
    <t>FAME PL 764 A</t>
  </si>
  <si>
    <t>FAME PL 765 A</t>
  </si>
  <si>
    <t>FAME TY383 A</t>
  </si>
  <si>
    <t>SPF</t>
  </si>
  <si>
    <t>SPF4</t>
  </si>
  <si>
    <t>FAME TY 580 A</t>
  </si>
  <si>
    <t>SPF11</t>
  </si>
  <si>
    <t>FAME TY 595 A</t>
  </si>
  <si>
    <t>SPF12</t>
  </si>
  <si>
    <t>FAME TY293 A</t>
  </si>
  <si>
    <t>SPF1</t>
  </si>
  <si>
    <t>FAME TY353 A</t>
  </si>
  <si>
    <t>SPF2</t>
  </si>
  <si>
    <t>FAME TY368 A</t>
  </si>
  <si>
    <t>SPF3</t>
  </si>
  <si>
    <t>FAME TY 610 A</t>
  </si>
  <si>
    <t>SPF13</t>
  </si>
  <si>
    <t>FAME TY 625 A</t>
  </si>
  <si>
    <t>SPF14</t>
  </si>
  <si>
    <t>FAME TY398 A</t>
  </si>
  <si>
    <t>SPF5</t>
  </si>
  <si>
    <t>FAME TY413 A</t>
  </si>
  <si>
    <t>SPF6</t>
  </si>
  <si>
    <t>FAME TY428 A</t>
  </si>
  <si>
    <t>SPF7</t>
  </si>
  <si>
    <t>FAME TY 670 A</t>
  </si>
  <si>
    <t>SPF15</t>
  </si>
  <si>
    <t>FAME TY 685 A</t>
  </si>
  <si>
    <t>SPF16</t>
  </si>
  <si>
    <t>FAME TY473 A</t>
  </si>
  <si>
    <t>SPF10</t>
  </si>
  <si>
    <t>FAME TY443 A</t>
  </si>
  <si>
    <t>SPF8</t>
  </si>
  <si>
    <t>FAME TY458 A</t>
  </si>
  <si>
    <t>SPF9</t>
  </si>
  <si>
    <t>FAME TY380 A</t>
  </si>
  <si>
    <t>FAME TY 577 A</t>
  </si>
  <si>
    <t>FAME TY 592 A</t>
  </si>
  <si>
    <t>FAME TY290 A</t>
  </si>
  <si>
    <t>FAME TY350 A</t>
  </si>
  <si>
    <t>FAME TY365 A</t>
  </si>
  <si>
    <t>FAME TY 607 A</t>
  </si>
  <si>
    <t>FAME TY 622 A</t>
  </si>
  <si>
    <t>FAME TY395 A</t>
  </si>
  <si>
    <t>FAME TY410 A</t>
  </si>
  <si>
    <t>FAME TY425 A</t>
  </si>
  <si>
    <t>FAME TY 667 A</t>
  </si>
  <si>
    <t>FAME TY 682 A</t>
  </si>
  <si>
    <t>FAME TY470 A</t>
  </si>
  <si>
    <t>FAME TY440 A</t>
  </si>
  <si>
    <t>FAME TY455 A</t>
  </si>
  <si>
    <t>FAME TY387 A</t>
  </si>
  <si>
    <t>FAME TY 292 A</t>
  </si>
  <si>
    <t>FAME TY 579 A</t>
  </si>
  <si>
    <t>FAME TY 594 A</t>
  </si>
  <si>
    <t>FAME TY352 A</t>
  </si>
  <si>
    <t>FAME TY367 A</t>
  </si>
  <si>
    <t>FAME TY 609 A</t>
  </si>
  <si>
    <t>FAME TY 624 A</t>
  </si>
  <si>
    <t>FAME TY397 A</t>
  </si>
  <si>
    <t>FAME TY412 A</t>
  </si>
  <si>
    <t>FAME TY427 A</t>
  </si>
  <si>
    <t>FAME TY 669 A</t>
  </si>
  <si>
    <t>FAME TY 684 A</t>
  </si>
  <si>
    <t>FAME TY472 A</t>
  </si>
  <si>
    <t>FAME TY442 A</t>
  </si>
  <si>
    <t>FAME TY457 A</t>
  </si>
  <si>
    <t>FAME TY381 A</t>
  </si>
  <si>
    <t>FAME TY 578 A</t>
  </si>
  <si>
    <t>FAME TY 593 A</t>
  </si>
  <si>
    <t>FAME TY291 A</t>
  </si>
  <si>
    <t>FAME TY351 A</t>
  </si>
  <si>
    <t>FAME TY366 A</t>
  </si>
  <si>
    <t>FAME TY 608 A</t>
  </si>
  <si>
    <t>FAME TY 623 A</t>
  </si>
  <si>
    <t>FAME TY396 A</t>
  </si>
  <si>
    <t>FAME TY411 A</t>
  </si>
  <si>
    <t>FAME TY426 A</t>
  </si>
  <si>
    <t>FAME TY 668 A</t>
  </si>
  <si>
    <t>FAME TY 683 A</t>
  </si>
  <si>
    <t>FAME TY471 A</t>
  </si>
  <si>
    <t>FAME TY441 A</t>
  </si>
  <si>
    <t>FAME TY456 A</t>
  </si>
  <si>
    <t>FAME TY375 A</t>
  </si>
  <si>
    <t>FAME TY285 A</t>
  </si>
  <si>
    <t>FAME TY345 A</t>
  </si>
  <si>
    <t>FAME TY360 A</t>
  </si>
  <si>
    <t>FAME TY 572 A</t>
  </si>
  <si>
    <t>FAME TY 587 A</t>
  </si>
  <si>
    <t>FAME TY390 A</t>
  </si>
  <si>
    <t>FAME TY405 A</t>
  </si>
  <si>
    <t>FAME TY420 A</t>
  </si>
  <si>
    <t>FAME TY 602 A</t>
  </si>
  <si>
    <t>FAME TY 617 A</t>
  </si>
  <si>
    <t>FAME TY465 A</t>
  </si>
  <si>
    <t>FAME TY435 A</t>
  </si>
  <si>
    <t>FAME TY 450 A</t>
  </si>
  <si>
    <t>FAME TY 662 A</t>
  </si>
  <si>
    <t>FAME TY 677 A</t>
  </si>
  <si>
    <t>FAME TY376 A</t>
  </si>
  <si>
    <t>FAME TY 573 A</t>
  </si>
  <si>
    <t>FAME TY 588 A</t>
  </si>
  <si>
    <t>FAME TY286 A</t>
  </si>
  <si>
    <t>FAME TY346 A</t>
  </si>
  <si>
    <t>FAME TY361 A</t>
  </si>
  <si>
    <t>FAME TY 603 A</t>
  </si>
  <si>
    <t>FAME TY391 A</t>
  </si>
  <si>
    <t>FAME TY406 A</t>
  </si>
  <si>
    <t>FAME TY421 A</t>
  </si>
  <si>
    <t>FAME TY 663 A</t>
  </si>
  <si>
    <t>FAME TY 678 A</t>
  </si>
  <si>
    <t>FAME TY466 A</t>
  </si>
  <si>
    <t>FAME TY436 A</t>
  </si>
  <si>
    <t>FAME TY451 A</t>
  </si>
  <si>
    <t>FAME PL 743_Lab A</t>
  </si>
  <si>
    <t>FAME PL 750 A</t>
  </si>
  <si>
    <t>FAME PL 751 A</t>
  </si>
  <si>
    <t>FAME PL 737_Lab A</t>
  </si>
  <si>
    <t>FAME PL 741_Lab A</t>
  </si>
  <si>
    <t>FAME PL 742_Lab A</t>
  </si>
  <si>
    <t>FAME PL 752 A</t>
  </si>
  <si>
    <t>FAME PL 753 A</t>
  </si>
  <si>
    <t>FAME PL 744_Lab A</t>
  </si>
  <si>
    <t>FAME PL 745_Lab A</t>
  </si>
  <si>
    <t>FAME PL 746_Lab A</t>
  </si>
  <si>
    <t>FAME PL 756 A</t>
  </si>
  <si>
    <t>FAME PL 757 A</t>
  </si>
  <si>
    <t>FAME PL 747_Lab A</t>
  </si>
  <si>
    <t>FAME PL 748_Lab A</t>
  </si>
  <si>
    <t>FAME PL 749_Lab A</t>
  </si>
  <si>
    <t>TY253</t>
  </si>
  <si>
    <t>TY 715</t>
  </si>
  <si>
    <t>TY 730</t>
  </si>
  <si>
    <t>TY154</t>
  </si>
  <si>
    <t>TY218</t>
  </si>
  <si>
    <t>TY233</t>
  </si>
  <si>
    <t>TY 760</t>
  </si>
  <si>
    <t>TY 775</t>
  </si>
  <si>
    <t>TY186</t>
  </si>
  <si>
    <t>TY263</t>
  </si>
  <si>
    <t>TY278</t>
  </si>
  <si>
    <t>TY 820</t>
  </si>
  <si>
    <t>TY338</t>
  </si>
  <si>
    <t>TY308</t>
  </si>
  <si>
    <t>TY323</t>
  </si>
  <si>
    <t>TY245</t>
  </si>
  <si>
    <t>TY 712</t>
  </si>
  <si>
    <t>TY 727</t>
  </si>
  <si>
    <t>TY153</t>
  </si>
  <si>
    <t>TY215</t>
  </si>
  <si>
    <t>TY230</t>
  </si>
  <si>
    <t>TY 757</t>
  </si>
  <si>
    <t>TY 772</t>
  </si>
  <si>
    <t>TY185</t>
  </si>
  <si>
    <t>TY260</t>
  </si>
  <si>
    <t>TY275</t>
  </si>
  <si>
    <t>TY 817</t>
  </si>
  <si>
    <t>TY335</t>
  </si>
  <si>
    <t>TY305</t>
  </si>
  <si>
    <t>TY320</t>
  </si>
  <si>
    <t>TY247</t>
  </si>
  <si>
    <t>TY 714</t>
  </si>
  <si>
    <t>TY 729</t>
  </si>
  <si>
    <t>TY151</t>
  </si>
  <si>
    <t>TY217</t>
  </si>
  <si>
    <t>TY232</t>
  </si>
  <si>
    <t>TY 759</t>
  </si>
  <si>
    <t>TY 774</t>
  </si>
  <si>
    <t>TY183</t>
  </si>
  <si>
    <t>TY262</t>
  </si>
  <si>
    <t>TY277</t>
  </si>
  <si>
    <t>TY 819</t>
  </si>
  <si>
    <t>TY337</t>
  </si>
  <si>
    <t>TY307</t>
  </si>
  <si>
    <t>TY322</t>
  </si>
  <si>
    <t>TY246</t>
  </si>
  <si>
    <t>TY 713</t>
  </si>
  <si>
    <t>TY 728</t>
  </si>
  <si>
    <t>TY152</t>
  </si>
  <si>
    <t>TY216</t>
  </si>
  <si>
    <t>TY231</t>
  </si>
  <si>
    <t>TY 758</t>
  </si>
  <si>
    <t>TY 773</t>
  </si>
  <si>
    <t>TY184</t>
  </si>
  <si>
    <t>TY261</t>
  </si>
  <si>
    <t>TY276</t>
  </si>
  <si>
    <t>TY 818</t>
  </si>
  <si>
    <t>TY336</t>
  </si>
  <si>
    <t>TY306</t>
  </si>
  <si>
    <t>TY321</t>
  </si>
  <si>
    <t>TY240</t>
  </si>
  <si>
    <t>TY146</t>
  </si>
  <si>
    <t>TY210</t>
  </si>
  <si>
    <t>TY225</t>
  </si>
  <si>
    <t>TY 707</t>
  </si>
  <si>
    <t>TY178</t>
  </si>
  <si>
    <t>TY255</t>
  </si>
  <si>
    <t>TY270</t>
  </si>
  <si>
    <t>TY 752</t>
  </si>
  <si>
    <t>TY 767</t>
  </si>
  <si>
    <t>TY330</t>
  </si>
  <si>
    <t>TY300</t>
  </si>
  <si>
    <t>TY315</t>
  </si>
  <si>
    <t>TY 812</t>
  </si>
  <si>
    <t>TY241</t>
  </si>
  <si>
    <t>TY 708</t>
  </si>
  <si>
    <t>TY 723</t>
  </si>
  <si>
    <t>TY147</t>
  </si>
  <si>
    <t>TY211</t>
  </si>
  <si>
    <t>TY226</t>
  </si>
  <si>
    <t>TY 753</t>
  </si>
  <si>
    <t>TY 768</t>
  </si>
  <si>
    <t>TY179</t>
  </si>
  <si>
    <t>TY256</t>
  </si>
  <si>
    <t>TY271</t>
  </si>
  <si>
    <t>TY 813</t>
  </si>
  <si>
    <t>TY331</t>
  </si>
  <si>
    <t>TY301</t>
  </si>
  <si>
    <t>TY316</t>
  </si>
  <si>
    <t>PL 734</t>
  </si>
  <si>
    <t>PL 759</t>
  </si>
  <si>
    <t>PL 760</t>
  </si>
  <si>
    <t>PL 728</t>
  </si>
  <si>
    <t>PL 732</t>
  </si>
  <si>
    <t>PL 733</t>
  </si>
  <si>
    <t>PL 762</t>
  </si>
  <si>
    <t>PL 763</t>
  </si>
  <si>
    <t>PL 730</t>
  </si>
  <si>
    <t>PL 735</t>
  </si>
  <si>
    <t>PL 736</t>
  </si>
  <si>
    <t>PL 738</t>
  </si>
  <si>
    <t>PL 766</t>
  </si>
  <si>
    <t>PL 739</t>
  </si>
  <si>
    <t>PL 740</t>
  </si>
  <si>
    <t>TY106</t>
  </si>
  <si>
    <t>TY26</t>
  </si>
  <si>
    <t>TY138</t>
  </si>
  <si>
    <t>TY 655</t>
  </si>
  <si>
    <t>TY 700</t>
  </si>
  <si>
    <t>TY42</t>
  </si>
  <si>
    <t>TY58</t>
  </si>
  <si>
    <t>TY170</t>
  </si>
  <si>
    <t>TY 640</t>
  </si>
  <si>
    <t>TY 745</t>
  </si>
  <si>
    <t>TY202</t>
  </si>
  <si>
    <t>TY74</t>
  </si>
  <si>
    <t>TY90</t>
  </si>
  <si>
    <t>TY 790</t>
  </si>
  <si>
    <t>TY 805</t>
  </si>
  <si>
    <t>TY105</t>
  </si>
  <si>
    <t>TY25</t>
  </si>
  <si>
    <t>TY137</t>
  </si>
  <si>
    <t>TY 652</t>
  </si>
  <si>
    <t>TY 697</t>
  </si>
  <si>
    <t>TY41</t>
  </si>
  <si>
    <t>TY57</t>
  </si>
  <si>
    <t>TY169</t>
  </si>
  <si>
    <t>TY 637</t>
  </si>
  <si>
    <t>TY 742</t>
  </si>
  <si>
    <t>TY201</t>
  </si>
  <si>
    <t>TY73</t>
  </si>
  <si>
    <t>TY89</t>
  </si>
  <si>
    <t>TY 787</t>
  </si>
  <si>
    <t>TY 802</t>
  </si>
  <si>
    <t>TY103</t>
  </si>
  <si>
    <t>TY23</t>
  </si>
  <si>
    <t>TY135</t>
  </si>
  <si>
    <t>TY 654</t>
  </si>
  <si>
    <t>TY 699</t>
  </si>
  <si>
    <t>TY39</t>
  </si>
  <si>
    <t>TY55</t>
  </si>
  <si>
    <t>TY167</t>
  </si>
  <si>
    <t>TY 639</t>
  </si>
  <si>
    <t>TY 744</t>
  </si>
  <si>
    <t>TY199</t>
  </si>
  <si>
    <t>TY71</t>
  </si>
  <si>
    <t>TY87</t>
  </si>
  <si>
    <t>TY 789</t>
  </si>
  <si>
    <t>TY 804</t>
  </si>
  <si>
    <t>TY104</t>
  </si>
  <si>
    <t>TY24</t>
  </si>
  <si>
    <t>TY136</t>
  </si>
  <si>
    <t>TY 653</t>
  </si>
  <si>
    <t>TY 698</t>
  </si>
  <si>
    <t>TY40</t>
  </si>
  <si>
    <t>TY56</t>
  </si>
  <si>
    <t>TY168</t>
  </si>
  <si>
    <t>TY 638</t>
  </si>
  <si>
    <t>TY 743</t>
  </si>
  <si>
    <t>TY200</t>
  </si>
  <si>
    <t>TY72</t>
  </si>
  <si>
    <t>TY88</t>
  </si>
  <si>
    <t>TY 788</t>
  </si>
  <si>
    <t>TY 803</t>
  </si>
  <si>
    <t>TY98</t>
  </si>
  <si>
    <t>TY18</t>
  </si>
  <si>
    <t>TY130</t>
  </si>
  <si>
    <t>TY 647</t>
  </si>
  <si>
    <t>TY 692</t>
  </si>
  <si>
    <t>TY34</t>
  </si>
  <si>
    <t>TY50</t>
  </si>
  <si>
    <t>TY162</t>
  </si>
  <si>
    <t>TY 632</t>
  </si>
  <si>
    <t>TY 737</t>
  </si>
  <si>
    <t>TY194</t>
  </si>
  <si>
    <t>TY66</t>
  </si>
  <si>
    <t>TY82</t>
  </si>
  <si>
    <t>TY 782</t>
  </si>
  <si>
    <t>TY 797</t>
  </si>
  <si>
    <t>TY99</t>
  </si>
  <si>
    <t>TY19</t>
  </si>
  <si>
    <t>TY131</t>
  </si>
  <si>
    <t>TY 648</t>
  </si>
  <si>
    <t>TY 693</t>
  </si>
  <si>
    <t>TY35</t>
  </si>
  <si>
    <t>TY51</t>
  </si>
  <si>
    <t>TY163</t>
  </si>
  <si>
    <t>TY 633</t>
  </si>
  <si>
    <t>TY 738</t>
  </si>
  <si>
    <t>TY195</t>
  </si>
  <si>
    <t>TY67</t>
  </si>
  <si>
    <t>TY83</t>
  </si>
  <si>
    <t>TY 783</t>
  </si>
  <si>
    <t>TY 798</t>
  </si>
  <si>
    <t>PL 725</t>
  </si>
  <si>
    <t>PL 720</t>
  </si>
  <si>
    <t>PL 727</t>
  </si>
  <si>
    <t>PL 755</t>
  </si>
  <si>
    <t>PL 758</t>
  </si>
  <si>
    <t>PL 721</t>
  </si>
  <si>
    <t>PL 722</t>
  </si>
  <si>
    <t>PL 729</t>
  </si>
  <si>
    <t>PL 754</t>
  </si>
  <si>
    <t>PL 761</t>
  </si>
  <si>
    <t>PL 723</t>
  </si>
  <si>
    <t>PL 724</t>
  </si>
  <si>
    <t>PL 731</t>
  </si>
  <si>
    <t>PL 764</t>
  </si>
  <si>
    <t>PL 765</t>
  </si>
  <si>
    <t>TY383</t>
  </si>
  <si>
    <t>TY 580</t>
  </si>
  <si>
    <t>TY 595</t>
  </si>
  <si>
    <t>TY293</t>
  </si>
  <si>
    <t>TY353</t>
  </si>
  <si>
    <t>TY368</t>
  </si>
  <si>
    <t>TY 610</t>
  </si>
  <si>
    <t>TY 625</t>
  </si>
  <si>
    <t>TY398</t>
  </si>
  <si>
    <t>TY413</t>
  </si>
  <si>
    <t>TY428</t>
  </si>
  <si>
    <t>TY 670</t>
  </si>
  <si>
    <t>TY 685</t>
  </si>
  <si>
    <t>TY473</t>
  </si>
  <si>
    <t>TY443</t>
  </si>
  <si>
    <t>TY458</t>
  </si>
  <si>
    <t>TY380</t>
  </si>
  <si>
    <t>TY 577</t>
  </si>
  <si>
    <t>TY 592</t>
  </si>
  <si>
    <t>TY290</t>
  </si>
  <si>
    <t>TY350</t>
  </si>
  <si>
    <t>TY365</t>
  </si>
  <si>
    <t>TY 607</t>
  </si>
  <si>
    <t>TY 622</t>
  </si>
  <si>
    <t>TY395</t>
  </si>
  <si>
    <t>TY410</t>
  </si>
  <si>
    <t>TY425</t>
  </si>
  <si>
    <t>TY 667</t>
  </si>
  <si>
    <t>TY 682</t>
  </si>
  <si>
    <t>TY470</t>
  </si>
  <si>
    <t>TY440</t>
  </si>
  <si>
    <t>TY455</t>
  </si>
  <si>
    <t>TY387</t>
  </si>
  <si>
    <t>TY292</t>
  </si>
  <si>
    <t>TY 579</t>
  </si>
  <si>
    <t>TY 594</t>
  </si>
  <si>
    <t>TY352</t>
  </si>
  <si>
    <t>TY367</t>
  </si>
  <si>
    <t>TY 609</t>
  </si>
  <si>
    <t>TY 624</t>
  </si>
  <si>
    <t>TY397</t>
  </si>
  <si>
    <t>TY412</t>
  </si>
  <si>
    <t>TY427</t>
  </si>
  <si>
    <t>TY 669</t>
  </si>
  <si>
    <t>TY 684</t>
  </si>
  <si>
    <t>TY472</t>
  </si>
  <si>
    <t>TY442</t>
  </si>
  <si>
    <t>TY457</t>
  </si>
  <si>
    <t>TY381</t>
  </si>
  <si>
    <t>TY 578</t>
  </si>
  <si>
    <t>TY 593</t>
  </si>
  <si>
    <t>TY291</t>
  </si>
  <si>
    <t>TY351</t>
  </si>
  <si>
    <t>TY366</t>
  </si>
  <si>
    <t>TY 608</t>
  </si>
  <si>
    <t>TY 623</t>
  </si>
  <si>
    <t>TY396</t>
  </si>
  <si>
    <t>TY411</t>
  </si>
  <si>
    <t>TY426</t>
  </si>
  <si>
    <t>TY 668</t>
  </si>
  <si>
    <t>TY 683</t>
  </si>
  <si>
    <t>TY471</t>
  </si>
  <si>
    <t>TY441</t>
  </si>
  <si>
    <t>TY456</t>
  </si>
  <si>
    <t>TY375</t>
  </si>
  <si>
    <t>TY285</t>
  </si>
  <si>
    <t>TY345</t>
  </si>
  <si>
    <t>TY360</t>
  </si>
  <si>
    <t>TY 572</t>
  </si>
  <si>
    <t>TY 587</t>
  </si>
  <si>
    <t>TY390</t>
  </si>
  <si>
    <t>TY405</t>
  </si>
  <si>
    <t>TY420</t>
  </si>
  <si>
    <t>TY 602</t>
  </si>
  <si>
    <t>TY 617</t>
  </si>
  <si>
    <t>TY465</t>
  </si>
  <si>
    <t>TY435</t>
  </si>
  <si>
    <t>TY450</t>
  </si>
  <si>
    <t>TY 662</t>
  </si>
  <si>
    <t>TY 677</t>
  </si>
  <si>
    <t>TY376</t>
  </si>
  <si>
    <t>TY 573</t>
  </si>
  <si>
    <t>TY 588</t>
  </si>
  <si>
    <t>TY286</t>
  </si>
  <si>
    <t>TY346</t>
  </si>
  <si>
    <t>TY361</t>
  </si>
  <si>
    <t>TY 603</t>
  </si>
  <si>
    <t>TY391</t>
  </si>
  <si>
    <t>TY406</t>
  </si>
  <si>
    <t>TY421</t>
  </si>
  <si>
    <t>TY 663</t>
  </si>
  <si>
    <t>TY 678</t>
  </si>
  <si>
    <t>TY466</t>
  </si>
  <si>
    <t>TY436</t>
  </si>
  <si>
    <t>TY451</t>
  </si>
  <si>
    <t>PL 743</t>
  </si>
  <si>
    <t>PL 750</t>
  </si>
  <si>
    <t>PL 751</t>
  </si>
  <si>
    <t>PL 737</t>
  </si>
  <si>
    <t>PL 741</t>
  </si>
  <si>
    <t>PL 742</t>
  </si>
  <si>
    <t>PL 752</t>
  </si>
  <si>
    <t>PL 753</t>
  </si>
  <si>
    <t>PL 744</t>
  </si>
  <si>
    <t>PL 745</t>
  </si>
  <si>
    <t>PL 746</t>
  </si>
  <si>
    <t>PL 756</t>
  </si>
  <si>
    <t>PL 757</t>
  </si>
  <si>
    <t>PL 747</t>
  </si>
  <si>
    <t>PL 748</t>
  </si>
  <si>
    <t>PL 749</t>
  </si>
  <si>
    <t>Raw File Name</t>
  </si>
  <si>
    <t>Mouse Identifier</t>
  </si>
  <si>
    <t>Sample Number</t>
  </si>
  <si>
    <t>FAME TY243 A</t>
  </si>
  <si>
    <t>TY243</t>
  </si>
  <si>
    <t>eWAT</t>
  </si>
  <si>
    <t>FAME TY149 A</t>
  </si>
  <si>
    <t>TY149</t>
  </si>
  <si>
    <t>FAME TY213 A</t>
  </si>
  <si>
    <t>TY213</t>
  </si>
  <si>
    <t>FAME TY228 A</t>
  </si>
  <si>
    <t>TY228</t>
  </si>
  <si>
    <t>FAME TY 710 A</t>
  </si>
  <si>
    <t>TY 710</t>
  </si>
  <si>
    <t>FAME TY 725 A</t>
  </si>
  <si>
    <t>TY 725</t>
  </si>
  <si>
    <t>FAME TY181 A</t>
  </si>
  <si>
    <t>TY181</t>
  </si>
  <si>
    <t>FAME TY258 A</t>
  </si>
  <si>
    <t>TY258</t>
  </si>
  <si>
    <t>FAME TY273 A</t>
  </si>
  <si>
    <t>TY273</t>
  </si>
  <si>
    <t>FAME TY 755 A</t>
  </si>
  <si>
    <t>TY 755</t>
  </si>
  <si>
    <t>FAME TY 770 A</t>
  </si>
  <si>
    <t>TY 770</t>
  </si>
  <si>
    <t>FAME TY303 A</t>
  </si>
  <si>
    <t>TY303</t>
  </si>
  <si>
    <t>FAME TY318 A</t>
  </si>
  <si>
    <t>TY318</t>
  </si>
  <si>
    <t>FAME TY333 A</t>
  </si>
  <si>
    <t>TY333</t>
  </si>
  <si>
    <t>FAME TY 815 A</t>
  </si>
  <si>
    <t>TY 815</t>
  </si>
  <si>
    <t>FAME TY244 A</t>
  </si>
  <si>
    <t>TY244</t>
  </si>
  <si>
    <t>iBAT</t>
  </si>
  <si>
    <t>FAME TY150 A</t>
  </si>
  <si>
    <t>TY150</t>
  </si>
  <si>
    <t>FAME TY214 A</t>
  </si>
  <si>
    <t>TY214</t>
  </si>
  <si>
    <t>FAME TY229 A</t>
  </si>
  <si>
    <t>TY229</t>
  </si>
  <si>
    <t>FAME TY 711 A</t>
  </si>
  <si>
    <t>TY 711</t>
  </si>
  <si>
    <t>FAME TY 726 A</t>
  </si>
  <si>
    <t>TY 726</t>
  </si>
  <si>
    <t>FAME TY182 A</t>
  </si>
  <si>
    <t>TY182</t>
  </si>
  <si>
    <t>FAME TY259 A</t>
  </si>
  <si>
    <t>TY259</t>
  </si>
  <si>
    <t>FAME TY274 A</t>
  </si>
  <si>
    <t>TY274</t>
  </si>
  <si>
    <t>FAME TY 756 A</t>
  </si>
  <si>
    <t>TY 756</t>
  </si>
  <si>
    <t>FAME TY 771 A</t>
  </si>
  <si>
    <t>TY 771</t>
  </si>
  <si>
    <t>FAME TY304 A</t>
  </si>
  <si>
    <t>TY304</t>
  </si>
  <si>
    <t>FAME TY319 A</t>
  </si>
  <si>
    <t>TY319</t>
  </si>
  <si>
    <t>FAME TY334 A</t>
  </si>
  <si>
    <t>TY334</t>
  </si>
  <si>
    <t>FAME TY 816 A</t>
  </si>
  <si>
    <t>TY 816</t>
  </si>
  <si>
    <t>FAME TY242 A</t>
  </si>
  <si>
    <t>TY242</t>
  </si>
  <si>
    <t>iWAT</t>
  </si>
  <si>
    <t>FAME TY148 A</t>
  </si>
  <si>
    <t>TY148</t>
  </si>
  <si>
    <t>FAME TY212 A</t>
  </si>
  <si>
    <t>TY212</t>
  </si>
  <si>
    <t>FAME TY227 A</t>
  </si>
  <si>
    <t>TY227</t>
  </si>
  <si>
    <t>FAME TY 709 A</t>
  </si>
  <si>
    <t>TY 709</t>
  </si>
  <si>
    <t>FAME TY 724 A</t>
  </si>
  <si>
    <t>TY 724</t>
  </si>
  <si>
    <t>FAME TY180 A</t>
  </si>
  <si>
    <t>TY180</t>
  </si>
  <si>
    <t>FAME TY257 A</t>
  </si>
  <si>
    <t>TY257</t>
  </si>
  <si>
    <t>FAME TY272 A</t>
  </si>
  <si>
    <t>TY272</t>
  </si>
  <si>
    <t>FAME TY 754 A</t>
  </si>
  <si>
    <t>TY 754</t>
  </si>
  <si>
    <t>FAME TY 769 A</t>
  </si>
  <si>
    <t>TY 769</t>
  </si>
  <si>
    <t>FAME TY302 A</t>
  </si>
  <si>
    <t>TY302</t>
  </si>
  <si>
    <t>FAME TY317 A</t>
  </si>
  <si>
    <t>TY317</t>
  </si>
  <si>
    <t>FAME TY332 A</t>
  </si>
  <si>
    <t>TY332</t>
  </si>
  <si>
    <t>FAME TY 814 A</t>
  </si>
  <si>
    <t>TY 814</t>
  </si>
  <si>
    <t>FAME TY101 A</t>
  </si>
  <si>
    <t>TY101</t>
  </si>
  <si>
    <t>FAME TY21 A</t>
  </si>
  <si>
    <t>TY21</t>
  </si>
  <si>
    <t>FAME TY133 A</t>
  </si>
  <si>
    <t>TY133</t>
  </si>
  <si>
    <t>FAME TY 650 A</t>
  </si>
  <si>
    <t>TY 650</t>
  </si>
  <si>
    <t>FAME TY 695 A</t>
  </si>
  <si>
    <t>TY 695</t>
  </si>
  <si>
    <t>FAME TY37 A</t>
  </si>
  <si>
    <t>TY37</t>
  </si>
  <si>
    <t>FAME TY53 A</t>
  </si>
  <si>
    <t>TY53</t>
  </si>
  <si>
    <t>FAME TY165 A</t>
  </si>
  <si>
    <t>TY165</t>
  </si>
  <si>
    <t>FAME TY 635 A</t>
  </si>
  <si>
    <t>TY 635</t>
  </si>
  <si>
    <t>FAME TY 740 A</t>
  </si>
  <si>
    <t>TY 740</t>
  </si>
  <si>
    <t>FAME TY69 A</t>
  </si>
  <si>
    <t>TY69</t>
  </si>
  <si>
    <t>FAME TY85 A</t>
  </si>
  <si>
    <t>TY85</t>
  </si>
  <si>
    <t>FAME TY197 A</t>
  </si>
  <si>
    <t>TY197</t>
  </si>
  <si>
    <t>FAME TY 785 A</t>
  </si>
  <si>
    <t>TY 785</t>
  </si>
  <si>
    <t>FAME TY 800 A</t>
  </si>
  <si>
    <t>TY 800</t>
  </si>
  <si>
    <t>FAME TY102 A</t>
  </si>
  <si>
    <t>TY102</t>
  </si>
  <si>
    <t>FAME TY22 A</t>
  </si>
  <si>
    <t>TY22</t>
  </si>
  <si>
    <t>FAME TY134 A</t>
  </si>
  <si>
    <t>TY134</t>
  </si>
  <si>
    <t>FAME TY 651 A</t>
  </si>
  <si>
    <t>TY 651</t>
  </si>
  <si>
    <t>FAME TY 696 A</t>
  </si>
  <si>
    <t>TY 696</t>
  </si>
  <si>
    <t>FAME TY38 A</t>
  </si>
  <si>
    <t>TY38</t>
  </si>
  <si>
    <t>FAME TY54 A</t>
  </si>
  <si>
    <t>TY54</t>
  </si>
  <si>
    <t>FAME TY166 A</t>
  </si>
  <si>
    <t>TY166</t>
  </si>
  <si>
    <t>FAME TY 636 A</t>
  </si>
  <si>
    <t>TY 636</t>
  </si>
  <si>
    <t>FAME TY 741 A</t>
  </si>
  <si>
    <t>TY 741</t>
  </si>
  <si>
    <t>FAME TY70 A</t>
  </si>
  <si>
    <t>TY70</t>
  </si>
  <si>
    <t>FAME TY86 A</t>
  </si>
  <si>
    <t>TY86</t>
  </si>
  <si>
    <t>FAME TY198_WH A</t>
  </si>
  <si>
    <t>TY198</t>
  </si>
  <si>
    <t>FAME TY 786 A</t>
  </si>
  <si>
    <t>TY 786</t>
  </si>
  <si>
    <t>FAME TY 801 A</t>
  </si>
  <si>
    <t>TY 801</t>
  </si>
  <si>
    <t>FAME TY100 A</t>
  </si>
  <si>
    <t>TY100</t>
  </si>
  <si>
    <t>FAME TY20 A</t>
  </si>
  <si>
    <t>TY20</t>
  </si>
  <si>
    <t>FAME TY132 A</t>
  </si>
  <si>
    <t>TY132</t>
  </si>
  <si>
    <t>FAME TY 649 A</t>
  </si>
  <si>
    <t>TY 649</t>
  </si>
  <si>
    <t>FAME TY 694 A</t>
  </si>
  <si>
    <t>TY 694</t>
  </si>
  <si>
    <t>FAME TY36 A</t>
  </si>
  <si>
    <t>TY36</t>
  </si>
  <si>
    <t>FAME TY52 A</t>
  </si>
  <si>
    <t>TY52</t>
  </si>
  <si>
    <t>FAME TY164 A</t>
  </si>
  <si>
    <t>TY164</t>
  </si>
  <si>
    <t>FAME TY 634 A</t>
  </si>
  <si>
    <t>TY 634</t>
  </si>
  <si>
    <t>FAME TY 739 A</t>
  </si>
  <si>
    <t>TY 739</t>
  </si>
  <si>
    <t>FAME TY68 A</t>
  </si>
  <si>
    <t>TY68</t>
  </si>
  <si>
    <t>FAME TY84 A</t>
  </si>
  <si>
    <t>TY84</t>
  </si>
  <si>
    <t>FAME TY196 A</t>
  </si>
  <si>
    <t>TY196</t>
  </si>
  <si>
    <t>FAME TY 784 A</t>
  </si>
  <si>
    <t>TY 784</t>
  </si>
  <si>
    <t>FAME TY 799 A</t>
  </si>
  <si>
    <t>TY 799</t>
  </si>
  <si>
    <t>FAME TY378 A</t>
  </si>
  <si>
    <t>TY378</t>
  </si>
  <si>
    <t>FAME TY288 A</t>
  </si>
  <si>
    <t>TY288</t>
  </si>
  <si>
    <t>FAME TY348 A</t>
  </si>
  <si>
    <t>TY348</t>
  </si>
  <si>
    <t>FAME TY363 A</t>
  </si>
  <si>
    <t>TY363</t>
  </si>
  <si>
    <t>FAME TY 575 A</t>
  </si>
  <si>
    <t>TY 575</t>
  </si>
  <si>
    <t>FAME TY 590 A</t>
  </si>
  <si>
    <t>TY 590</t>
  </si>
  <si>
    <t>FAME TY393 A</t>
  </si>
  <si>
    <t>TY393</t>
  </si>
  <si>
    <t>FAME TY408 A</t>
  </si>
  <si>
    <t>TY408</t>
  </si>
  <si>
    <t>FAME TY423 A</t>
  </si>
  <si>
    <t>TY423</t>
  </si>
  <si>
    <t>FAME TY 605 A</t>
  </si>
  <si>
    <t>TY 605</t>
  </si>
  <si>
    <t>FAME TY 620 A</t>
  </si>
  <si>
    <t>TY 620</t>
  </si>
  <si>
    <t>TY438</t>
  </si>
  <si>
    <t>FAME TY438_WH A</t>
  </si>
  <si>
    <t>FAME TY453 A</t>
  </si>
  <si>
    <t>TY453</t>
  </si>
  <si>
    <t>FAME TY468 A</t>
  </si>
  <si>
    <t>TY468</t>
  </si>
  <si>
    <t>FAME TY 665 A</t>
  </si>
  <si>
    <t>TY 665</t>
  </si>
  <si>
    <t>FAME TY 680 A</t>
  </si>
  <si>
    <t>TY 680</t>
  </si>
  <si>
    <t>FAME TY379 A</t>
  </si>
  <si>
    <t>TY379</t>
  </si>
  <si>
    <t>FAME TY289 A</t>
  </si>
  <si>
    <t>TY289</t>
  </si>
  <si>
    <t>FAME TY349 A</t>
  </si>
  <si>
    <t>TY349</t>
  </si>
  <si>
    <t>FAME TY364 A</t>
  </si>
  <si>
    <t>TY364</t>
  </si>
  <si>
    <t>FAME TY 576 A</t>
  </si>
  <si>
    <t>TY 576</t>
  </si>
  <si>
    <t>FAME TY 591 A</t>
  </si>
  <si>
    <t>TY 591</t>
  </si>
  <si>
    <t>FAME TY394 A</t>
  </si>
  <si>
    <t>TY394</t>
  </si>
  <si>
    <t>FAME TY409 A</t>
  </si>
  <si>
    <t>TY409</t>
  </si>
  <si>
    <t>FAME TY424 A</t>
  </si>
  <si>
    <t>TY424</t>
  </si>
  <si>
    <t>FAME TY 606 A</t>
  </si>
  <si>
    <t>TY 606</t>
  </si>
  <si>
    <t>FAME TY 621 A</t>
  </si>
  <si>
    <t>TY 621</t>
  </si>
  <si>
    <t>FAME TY439 A</t>
  </si>
  <si>
    <t>TY439</t>
  </si>
  <si>
    <t>FAME TY454 A</t>
  </si>
  <si>
    <t>TY454</t>
  </si>
  <si>
    <t>FAME TY469 A</t>
  </si>
  <si>
    <t>TY469</t>
  </si>
  <si>
    <t>FAME TY 666 A</t>
  </si>
  <si>
    <t>TY 666</t>
  </si>
  <si>
    <t>FAME TY 681 A</t>
  </si>
  <si>
    <t>TY 681</t>
  </si>
  <si>
    <t>FAME TY377 A</t>
  </si>
  <si>
    <t>TY377</t>
  </si>
  <si>
    <t>FAME TY287 A</t>
  </si>
  <si>
    <t>TY287</t>
  </si>
  <si>
    <t>FAME TY347 A</t>
  </si>
  <si>
    <t>TY347</t>
  </si>
  <si>
    <t>FAME TY362 A</t>
  </si>
  <si>
    <t>TY362</t>
  </si>
  <si>
    <t>FAME TY 574 A</t>
  </si>
  <si>
    <t>TY 574</t>
  </si>
  <si>
    <t>FAME TY 589 A</t>
  </si>
  <si>
    <t>TY 589</t>
  </si>
  <si>
    <t>FAME TY392 A</t>
  </si>
  <si>
    <t>TY392</t>
  </si>
  <si>
    <t>FAME TY407 A</t>
  </si>
  <si>
    <t>TY407</t>
  </si>
  <si>
    <t>FAME TY422 A</t>
  </si>
  <si>
    <t>TY422</t>
  </si>
  <si>
    <t>FAME TY 604 A</t>
  </si>
  <si>
    <t>TY 604</t>
  </si>
  <si>
    <t>FAME TY 619 A</t>
  </si>
  <si>
    <t>TY 619</t>
  </si>
  <si>
    <t>FAME TY437 A</t>
  </si>
  <si>
    <t>TY437</t>
  </si>
  <si>
    <t>FAME TY452 A</t>
  </si>
  <si>
    <t>TY452</t>
  </si>
  <si>
    <t>FAME TY467 A</t>
  </si>
  <si>
    <t>TY467</t>
  </si>
  <si>
    <t>FAME TY 664 A</t>
  </si>
  <si>
    <t>TY 664</t>
  </si>
  <si>
    <t>FAME TY 679 A</t>
  </si>
  <si>
    <t>TY 679</t>
  </si>
  <si>
    <t>Matrix</t>
  </si>
  <si>
    <t>FA16:0 mz301</t>
  </si>
  <si>
    <t>FA16:0 mz275</t>
  </si>
  <si>
    <t>Unit</t>
  </si>
  <si>
    <t>nmol/0.2mg</t>
  </si>
  <si>
    <t>nmol/10µl</t>
  </si>
  <si>
    <t>FA14:1 n-9</t>
  </si>
  <si>
    <t>FA16:1 n-7</t>
  </si>
  <si>
    <t>FA18:1 n-9</t>
  </si>
  <si>
    <t>FA18:1 n-7</t>
  </si>
  <si>
    <t>FA18:2 n-6</t>
  </si>
  <si>
    <t>FA18:3 n-6</t>
  </si>
  <si>
    <t>FA18:3 n-3</t>
  </si>
  <si>
    <t>FA20:1 n-9</t>
  </si>
  <si>
    <t>FA20:4 n-6</t>
  </si>
  <si>
    <t>FA20:4 n-3</t>
  </si>
  <si>
    <t>FA20:5 n-3</t>
  </si>
  <si>
    <t>FA22:1 n-9</t>
  </si>
  <si>
    <t>FA22:4 n-6</t>
  </si>
  <si>
    <t>FA24:1 n-9</t>
  </si>
  <si>
    <t>FA22:6 n-3</t>
  </si>
  <si>
    <t>Total FA</t>
  </si>
  <si>
    <t>nmol/mg</t>
  </si>
  <si>
    <t>FAME TY249 A</t>
  </si>
  <si>
    <t>TY249</t>
  </si>
  <si>
    <t>bile fluid</t>
  </si>
  <si>
    <t>FAME TY108 A</t>
  </si>
  <si>
    <t>TY108</t>
  </si>
  <si>
    <t>FAME TY384 A</t>
  </si>
  <si>
    <t>TY384</t>
  </si>
  <si>
    <t>FAME TY156 A</t>
  </si>
  <si>
    <t>TY156</t>
  </si>
  <si>
    <t>FAME TY219 A</t>
  </si>
  <si>
    <t>TY219</t>
  </si>
  <si>
    <t>FAME TY234 A</t>
  </si>
  <si>
    <t>TY234</t>
  </si>
  <si>
    <t>FAME TY 716 A</t>
  </si>
  <si>
    <t>TY 716</t>
  </si>
  <si>
    <t>FAME TY 731 A</t>
  </si>
  <si>
    <t>TY 731</t>
  </si>
  <si>
    <t>FAME TY28 A</t>
  </si>
  <si>
    <t>TY28</t>
  </si>
  <si>
    <t>gall bladder (complete)</t>
  </si>
  <si>
    <t>FAME TY140 A</t>
  </si>
  <si>
    <t>TY140</t>
  </si>
  <si>
    <t>FAME TY 656 A</t>
  </si>
  <si>
    <t>TY 656</t>
  </si>
  <si>
    <t>FAME TY 701 A</t>
  </si>
  <si>
    <t>TY 701</t>
  </si>
  <si>
    <t>FAME TY294 A</t>
  </si>
  <si>
    <t>TY294</t>
  </si>
  <si>
    <t>FAME TY369 A</t>
  </si>
  <si>
    <t>TY369</t>
  </si>
  <si>
    <t>FAME TY188 A</t>
  </si>
  <si>
    <t>TY188</t>
  </si>
  <si>
    <t>FAME TY264 A</t>
  </si>
  <si>
    <t>TY264</t>
  </si>
  <si>
    <t>FAME TY279 A</t>
  </si>
  <si>
    <t>TY279</t>
  </si>
  <si>
    <t>FAME TY 761 A</t>
  </si>
  <si>
    <t>TY 761</t>
  </si>
  <si>
    <t>FAME TY 776 A</t>
  </si>
  <si>
    <t>TY 776</t>
  </si>
  <si>
    <t>FAME TY44 A</t>
  </si>
  <si>
    <t>TY44</t>
  </si>
  <si>
    <t>FAME TY60 A</t>
  </si>
  <si>
    <t>TY60</t>
  </si>
  <si>
    <t>gall bladder (complete), ruptured</t>
  </si>
  <si>
    <t>FAME TY172 A</t>
  </si>
  <si>
    <t>TY172</t>
  </si>
  <si>
    <t>TY 641</t>
  </si>
  <si>
    <t>FAME TY 746 A</t>
  </si>
  <si>
    <t>TY 746</t>
  </si>
  <si>
    <t>FAME TY414 A</t>
  </si>
  <si>
    <t>TY414</t>
  </si>
  <si>
    <t>FAME TY429 A</t>
  </si>
  <si>
    <t>TY429</t>
  </si>
  <si>
    <t>FAME TY 611 A</t>
  </si>
  <si>
    <t>TY 611</t>
  </si>
  <si>
    <t>FAME TY 626 A</t>
  </si>
  <si>
    <t>TY 626</t>
  </si>
  <si>
    <t>FAME TY309 A</t>
  </si>
  <si>
    <t>TY309</t>
  </si>
  <si>
    <t>FAME TY324 A</t>
  </si>
  <si>
    <t>TY324</t>
  </si>
  <si>
    <t>FAME TY339 A</t>
  </si>
  <si>
    <t>TY339</t>
  </si>
  <si>
    <t>FAME TY 821 A</t>
  </si>
  <si>
    <t>TY 821</t>
  </si>
  <si>
    <t>FAME TY76 A</t>
  </si>
  <si>
    <t>TY76</t>
  </si>
  <si>
    <t>FAME TY92 A</t>
  </si>
  <si>
    <t>TY92</t>
  </si>
  <si>
    <t>FAME TY204 A</t>
  </si>
  <si>
    <t>TY204</t>
  </si>
  <si>
    <t>FAME TY 791 A</t>
  </si>
  <si>
    <t>TY 791</t>
  </si>
  <si>
    <t>FAME TY 806 A</t>
  </si>
  <si>
    <t>TY 806</t>
  </si>
  <si>
    <t>FAME TY444 A</t>
  </si>
  <si>
    <t>TY444</t>
  </si>
  <si>
    <t>FAME TY459 A</t>
  </si>
  <si>
    <t>TY459</t>
  </si>
  <si>
    <t>FAME TY474 A</t>
  </si>
  <si>
    <t>TY474</t>
  </si>
  <si>
    <t>FAME TY 686 A</t>
  </si>
  <si>
    <t>TY 686</t>
  </si>
  <si>
    <t>FA23:0</t>
  </si>
  <si>
    <t>FAME TY248 A</t>
  </si>
  <si>
    <t>TY248</t>
  </si>
  <si>
    <t>gut content colon</t>
  </si>
  <si>
    <t>FAME TY160 A</t>
  </si>
  <si>
    <t>TY160</t>
  </si>
  <si>
    <t>FAME TY223 A</t>
  </si>
  <si>
    <t>TY223</t>
  </si>
  <si>
    <t>FAME TY238 A</t>
  </si>
  <si>
    <t>TY238</t>
  </si>
  <si>
    <t>FAME TY 720 A</t>
  </si>
  <si>
    <t>TY 720</t>
  </si>
  <si>
    <t>FAME TY 735 A</t>
  </si>
  <si>
    <t>TY 735</t>
  </si>
  <si>
    <t>FAME TY192 A</t>
  </si>
  <si>
    <t>TY192</t>
  </si>
  <si>
    <t>FAME TY268 A</t>
  </si>
  <si>
    <t>TY268</t>
  </si>
  <si>
    <t>FAME TY283 A</t>
  </si>
  <si>
    <t>TY283</t>
  </si>
  <si>
    <t>FAME TY 765 A</t>
  </si>
  <si>
    <t>TY 765</t>
  </si>
  <si>
    <t>FAME TY 780 A</t>
  </si>
  <si>
    <t>TY 780</t>
  </si>
  <si>
    <t>FAME TY313 A</t>
  </si>
  <si>
    <t>TY313</t>
  </si>
  <si>
    <t>FAME TY328 A</t>
  </si>
  <si>
    <t>TY328</t>
  </si>
  <si>
    <t>FAME TY343 A</t>
  </si>
  <si>
    <t>TY343</t>
  </si>
  <si>
    <t>FAME TY 825 A</t>
  </si>
  <si>
    <t>TY 825</t>
  </si>
  <si>
    <t>FAME TY112 A</t>
  </si>
  <si>
    <t>TY112</t>
  </si>
  <si>
    <t>FAME TY144 A</t>
  </si>
  <si>
    <t>TY144</t>
  </si>
  <si>
    <t>FAME TY 660 A</t>
  </si>
  <si>
    <t>TY 660</t>
  </si>
  <si>
    <t>FAME TY 705 A</t>
  </si>
  <si>
    <t>TY 705</t>
  </si>
  <si>
    <t>FAME TY32 A</t>
  </si>
  <si>
    <t>TY32</t>
  </si>
  <si>
    <t>FAME TY176 A</t>
  </si>
  <si>
    <t>TY176</t>
  </si>
  <si>
    <t>FAME TY 645 A</t>
  </si>
  <si>
    <t>TY 645</t>
  </si>
  <si>
    <t>FAME TY 750 A</t>
  </si>
  <si>
    <t>TY 750</t>
  </si>
  <si>
    <t>FAME TY48 A</t>
  </si>
  <si>
    <t>TY48</t>
  </si>
  <si>
    <t>FAME TY64 A</t>
  </si>
  <si>
    <t>TY64</t>
  </si>
  <si>
    <t>FAME TY208 A</t>
  </si>
  <si>
    <t>TY208</t>
  </si>
  <si>
    <t>FAME TY96 redo A</t>
  </si>
  <si>
    <t>TY96</t>
  </si>
  <si>
    <t>FAME TY 795 A</t>
  </si>
  <si>
    <t>TY 795</t>
  </si>
  <si>
    <t>FAME TY 810 A</t>
  </si>
  <si>
    <t>TY 810</t>
  </si>
  <si>
    <t>FAME TY80 A</t>
  </si>
  <si>
    <t>TY80</t>
  </si>
  <si>
    <t>FAME TY388 A</t>
  </si>
  <si>
    <t>TY388</t>
  </si>
  <si>
    <t>FAME TY298 A</t>
  </si>
  <si>
    <t>TY298</t>
  </si>
  <si>
    <t>FAME TY358 A</t>
  </si>
  <si>
    <t>TY358</t>
  </si>
  <si>
    <t>FAME TY373 A</t>
  </si>
  <si>
    <t>TY373</t>
  </si>
  <si>
    <t>FAME TY 585 A</t>
  </si>
  <si>
    <t>TY 585</t>
  </si>
  <si>
    <t>FAME TY 600 A</t>
  </si>
  <si>
    <t>TY 600</t>
  </si>
  <si>
    <t>FAME TY403 A</t>
  </si>
  <si>
    <t>TY403</t>
  </si>
  <si>
    <t>FAME TY418 A</t>
  </si>
  <si>
    <t>TY418</t>
  </si>
  <si>
    <t>FAME TY433 A</t>
  </si>
  <si>
    <t>TY433</t>
  </si>
  <si>
    <t>FAME TY 615 A</t>
  </si>
  <si>
    <t>TY 615</t>
  </si>
  <si>
    <t>FAME TY 630 A</t>
  </si>
  <si>
    <t>TY 630</t>
  </si>
  <si>
    <t>FAME TY448 A</t>
  </si>
  <si>
    <t>TY448</t>
  </si>
  <si>
    <t>FAME TY463 A</t>
  </si>
  <si>
    <t>TY463</t>
  </si>
  <si>
    <t>FAME TY478 A</t>
  </si>
  <si>
    <t>TY478</t>
  </si>
  <si>
    <t>FAME TY 675 A</t>
  </si>
  <si>
    <t>TY 675</t>
  </si>
  <si>
    <t>FAME TY 690 A</t>
  </si>
  <si>
    <t>TY 690</t>
  </si>
  <si>
    <t>FAME TY250 A</t>
  </si>
  <si>
    <t>TY250</t>
  </si>
  <si>
    <t>gut content duodenum</t>
  </si>
  <si>
    <t>FAME TY159 A</t>
  </si>
  <si>
    <t>TY159</t>
  </si>
  <si>
    <t>FAME TY220 A</t>
  </si>
  <si>
    <t>TY220</t>
  </si>
  <si>
    <t>FAME TY235 A</t>
  </si>
  <si>
    <t>TY235</t>
  </si>
  <si>
    <t>FAME TY 717 A</t>
  </si>
  <si>
    <t>TY 717</t>
  </si>
  <si>
    <t>FAME TY 732 A</t>
  </si>
  <si>
    <t>TY 732</t>
  </si>
  <si>
    <t>FAME TY191 A</t>
  </si>
  <si>
    <t>TY191</t>
  </si>
  <si>
    <t>FAME TY265 A</t>
  </si>
  <si>
    <t>TY265</t>
  </si>
  <si>
    <t>FAME TY280 A</t>
  </si>
  <si>
    <t>TY280</t>
  </si>
  <si>
    <t>FAME TY 762 A</t>
  </si>
  <si>
    <t>TY 762</t>
  </si>
  <si>
    <t>FAME TY 777 A</t>
  </si>
  <si>
    <t>TY 777</t>
  </si>
  <si>
    <t>FAME TY310 A</t>
  </si>
  <si>
    <t>TY310</t>
  </si>
  <si>
    <t>FAME TY325 A</t>
  </si>
  <si>
    <t>TY325</t>
  </si>
  <si>
    <t>FAME TY340 A</t>
  </si>
  <si>
    <t>TY340</t>
  </si>
  <si>
    <t>FAME TY 822 A</t>
  </si>
  <si>
    <t>TY 822</t>
  </si>
  <si>
    <t>FAME TY111 A</t>
  </si>
  <si>
    <t>TY111</t>
  </si>
  <si>
    <t>FAME TY 657 A</t>
  </si>
  <si>
    <t>TY 657</t>
  </si>
  <si>
    <t>FAME TY 702 A</t>
  </si>
  <si>
    <t>TY 702</t>
  </si>
  <si>
    <t>FAME TY31 A</t>
  </si>
  <si>
    <t>TY31</t>
  </si>
  <si>
    <t>FAME TY143 A</t>
  </si>
  <si>
    <t>TY143</t>
  </si>
  <si>
    <t>FAME TY175 A</t>
  </si>
  <si>
    <t>TY175</t>
  </si>
  <si>
    <t>FAME TY 642 A</t>
  </si>
  <si>
    <t>TY 642</t>
  </si>
  <si>
    <t>FAME TY 747 A</t>
  </si>
  <si>
    <t>TY 747</t>
  </si>
  <si>
    <t>FAME TY47 A</t>
  </si>
  <si>
    <t>TY47</t>
  </si>
  <si>
    <t>FAME TY63 A</t>
  </si>
  <si>
    <t>TY63</t>
  </si>
  <si>
    <t>FAME TY207 A</t>
  </si>
  <si>
    <t>TY207</t>
  </si>
  <si>
    <t>FAME TY 792 A</t>
  </si>
  <si>
    <t>TY 792</t>
  </si>
  <si>
    <t>FAME TY 807 A</t>
  </si>
  <si>
    <t>TY 807</t>
  </si>
  <si>
    <t>FAME TY79 A</t>
  </si>
  <si>
    <t>TY79</t>
  </si>
  <si>
    <t>FAME TY95 A</t>
  </si>
  <si>
    <t>TY95</t>
  </si>
  <si>
    <t>FAME TY385 A</t>
  </si>
  <si>
    <t>TY385</t>
  </si>
  <si>
    <t>FAME TY295 A</t>
  </si>
  <si>
    <t>TY295</t>
  </si>
  <si>
    <t>FAME TY355 A</t>
  </si>
  <si>
    <t>TY355</t>
  </si>
  <si>
    <t>FAME TY370 A</t>
  </si>
  <si>
    <t>TY370</t>
  </si>
  <si>
    <t>FAME TY 582 A</t>
  </si>
  <si>
    <t>TY 582</t>
  </si>
  <si>
    <t>FAME TY 597 A</t>
  </si>
  <si>
    <t>TY 597</t>
  </si>
  <si>
    <t>FAME TY400 A</t>
  </si>
  <si>
    <t>TY400</t>
  </si>
  <si>
    <t>FAME TY415 A</t>
  </si>
  <si>
    <t>TY415</t>
  </si>
  <si>
    <t>FAME TY430 A</t>
  </si>
  <si>
    <t>TY430</t>
  </si>
  <si>
    <t>FAME TY 612 A</t>
  </si>
  <si>
    <t>TY 612</t>
  </si>
  <si>
    <t>FAME TY 627 A</t>
  </si>
  <si>
    <t>TY 627</t>
  </si>
  <si>
    <t>FAME TY445 A</t>
  </si>
  <si>
    <t>TY445</t>
  </si>
  <si>
    <t>FAME TY460 A</t>
  </si>
  <si>
    <t>TY460</t>
  </si>
  <si>
    <t>FAME TY475 A</t>
  </si>
  <si>
    <t>TY475</t>
  </si>
  <si>
    <t>FAME TY 672 A</t>
  </si>
  <si>
    <t>TY 672</t>
  </si>
  <si>
    <t>FAME TY 687 A</t>
  </si>
  <si>
    <t>TY 687</t>
  </si>
  <si>
    <t>FAME TY252 A</t>
  </si>
  <si>
    <t>TY252</t>
  </si>
  <si>
    <t>gut content ileum</t>
  </si>
  <si>
    <t>FAME TY157 A</t>
  </si>
  <si>
    <t>TY157</t>
  </si>
  <si>
    <t>FAME TY222 A</t>
  </si>
  <si>
    <t>TY222</t>
  </si>
  <si>
    <t>FAME TY237 A</t>
  </si>
  <si>
    <t>TY237</t>
  </si>
  <si>
    <t>FAME TY 719 A</t>
  </si>
  <si>
    <t>TY 719</t>
  </si>
  <si>
    <t>FAME TY 734 A</t>
  </si>
  <si>
    <t>TY 734</t>
  </si>
  <si>
    <t>FAME TY189 A</t>
  </si>
  <si>
    <t>TY189</t>
  </si>
  <si>
    <t>FAME TY267 A</t>
  </si>
  <si>
    <t>TY267</t>
  </si>
  <si>
    <t>FAME TY282 A</t>
  </si>
  <si>
    <t>TY282</t>
  </si>
  <si>
    <t>FAME TY 764 A</t>
  </si>
  <si>
    <t>TY 764</t>
  </si>
  <si>
    <t>FAME TY 779 A</t>
  </si>
  <si>
    <t>TY 779</t>
  </si>
  <si>
    <t>FAME TY312 A</t>
  </si>
  <si>
    <t>TY312</t>
  </si>
  <si>
    <t>FAME TY327 A</t>
  </si>
  <si>
    <t>TY327</t>
  </si>
  <si>
    <t>FAME TY342 A</t>
  </si>
  <si>
    <t>TY342</t>
  </si>
  <si>
    <t>FAME TY 824 A</t>
  </si>
  <si>
    <t>TY 824</t>
  </si>
  <si>
    <t>FAME TY109 A</t>
  </si>
  <si>
    <t>TY109</t>
  </si>
  <si>
    <t>FAME TY 659 A</t>
  </si>
  <si>
    <t>TY 659</t>
  </si>
  <si>
    <t>FAME TY 704 A</t>
  </si>
  <si>
    <t>TY 704</t>
  </si>
  <si>
    <t>FAME TY29 A</t>
  </si>
  <si>
    <t>TY29</t>
  </si>
  <si>
    <t>FAME TY141 A</t>
  </si>
  <si>
    <t>TY141</t>
  </si>
  <si>
    <t>FAME TY173 A</t>
  </si>
  <si>
    <t>TY173</t>
  </si>
  <si>
    <t>FAME TY 644 A</t>
  </si>
  <si>
    <t>TY 644</t>
  </si>
  <si>
    <t>FAME TY 749 A</t>
  </si>
  <si>
    <t>TY 749</t>
  </si>
  <si>
    <t>FAME TY45 A</t>
  </si>
  <si>
    <t>TY45</t>
  </si>
  <si>
    <t>FAME TY61 A</t>
  </si>
  <si>
    <t>TY61</t>
  </si>
  <si>
    <t>FAME TY205 A</t>
  </si>
  <si>
    <t>TY205</t>
  </si>
  <si>
    <t>FAME TY 794 A</t>
  </si>
  <si>
    <t>TY 794</t>
  </si>
  <si>
    <t>FAME TY 809 A</t>
  </si>
  <si>
    <t>TY 809</t>
  </si>
  <si>
    <t>FAME TY77 A</t>
  </si>
  <si>
    <t>TY77</t>
  </si>
  <si>
    <t>FAME TY93 A</t>
  </si>
  <si>
    <t>TY93</t>
  </si>
  <si>
    <t>FAME TY382 A</t>
  </si>
  <si>
    <t>TY382</t>
  </si>
  <si>
    <t>FAME TY297 A</t>
  </si>
  <si>
    <t>TY297</t>
  </si>
  <si>
    <t>FAME TY357 A</t>
  </si>
  <si>
    <t>TY357</t>
  </si>
  <si>
    <t>FAME TY372 A</t>
  </si>
  <si>
    <t>TY372</t>
  </si>
  <si>
    <t>FAME TY 584 A</t>
  </si>
  <si>
    <t>TY 584</t>
  </si>
  <si>
    <t>FAME TY 599 A</t>
  </si>
  <si>
    <t>TY 599</t>
  </si>
  <si>
    <t>FAME TY402 A</t>
  </si>
  <si>
    <t>TY402</t>
  </si>
  <si>
    <t>FAME TY417 A</t>
  </si>
  <si>
    <t>TY417</t>
  </si>
  <si>
    <t>FAME TY432 A</t>
  </si>
  <si>
    <t>TY432</t>
  </si>
  <si>
    <t>FAME TY 614 A</t>
  </si>
  <si>
    <t>TY 614</t>
  </si>
  <si>
    <t>FAME TY 629 A</t>
  </si>
  <si>
    <t>TY 629</t>
  </si>
  <si>
    <t>FAME TY447 A</t>
  </si>
  <si>
    <t>TY447</t>
  </si>
  <si>
    <t>FAME TY462 A</t>
  </si>
  <si>
    <t>TY462</t>
  </si>
  <si>
    <t>FAME TY477 A</t>
  </si>
  <si>
    <t>TY477</t>
  </si>
  <si>
    <t>FAME TY 674 A</t>
  </si>
  <si>
    <t>TY 674</t>
  </si>
  <si>
    <t>FAME TY 689 A</t>
  </si>
  <si>
    <t>TY 689</t>
  </si>
  <si>
    <t>FAME TY251 A</t>
  </si>
  <si>
    <t>TY251</t>
  </si>
  <si>
    <t>gut content jejunum</t>
  </si>
  <si>
    <t>FAME TY158 A</t>
  </si>
  <si>
    <t>TY158</t>
  </si>
  <si>
    <t>FAME TY221 A</t>
  </si>
  <si>
    <t>TY221</t>
  </si>
  <si>
    <t>FAME TY236 A</t>
  </si>
  <si>
    <t>TY236</t>
  </si>
  <si>
    <t>FAME TY 718 A</t>
  </si>
  <si>
    <t>TY 718</t>
  </si>
  <si>
    <t>FAME TY 733 A</t>
  </si>
  <si>
    <t>TY 733</t>
  </si>
  <si>
    <t>FAME TY190 A</t>
  </si>
  <si>
    <t>TY190</t>
  </si>
  <si>
    <t>FAME TY266 A</t>
  </si>
  <si>
    <t>TY266</t>
  </si>
  <si>
    <t>FAME TY281 A</t>
  </si>
  <si>
    <t>TY281</t>
  </si>
  <si>
    <t>FAME TY 763 A</t>
  </si>
  <si>
    <t>TY 763</t>
  </si>
  <si>
    <t>FAME TY 778 A</t>
  </si>
  <si>
    <t>TY 778</t>
  </si>
  <si>
    <t>FAME TY311 A</t>
  </si>
  <si>
    <t>TY311</t>
  </si>
  <si>
    <t>FAME TY326 A</t>
  </si>
  <si>
    <t>TY326</t>
  </si>
  <si>
    <t>FAME TY341 A</t>
  </si>
  <si>
    <t>TY341</t>
  </si>
  <si>
    <t>FAME TY 823 A</t>
  </si>
  <si>
    <t>TY 823</t>
  </si>
  <si>
    <t>FAME TY110 A</t>
  </si>
  <si>
    <t>TY110</t>
  </si>
  <si>
    <t>FAME TY 658 A</t>
  </si>
  <si>
    <t>TY 658</t>
  </si>
  <si>
    <t>FAME TY 703 A</t>
  </si>
  <si>
    <t>TY 703</t>
  </si>
  <si>
    <t>FAME TY30 A</t>
  </si>
  <si>
    <t>TY30</t>
  </si>
  <si>
    <t>FAME TY142 A</t>
  </si>
  <si>
    <t>TY142</t>
  </si>
  <si>
    <t>FAME TY174 A</t>
  </si>
  <si>
    <t>TY174</t>
  </si>
  <si>
    <t>FAME TY 643 A</t>
  </si>
  <si>
    <t>TY 643</t>
  </si>
  <si>
    <t>FAME TY 748 A</t>
  </si>
  <si>
    <t>TY 748</t>
  </si>
  <si>
    <t>FAME TY46 A</t>
  </si>
  <si>
    <t>TY46</t>
  </si>
  <si>
    <t>FAME TY62 A</t>
  </si>
  <si>
    <t>TY62</t>
  </si>
  <si>
    <t>FAME TY206 A</t>
  </si>
  <si>
    <t>TY206</t>
  </si>
  <si>
    <t>FAME TY 793 A</t>
  </si>
  <si>
    <t>TY 793</t>
  </si>
  <si>
    <t>FAME TY 808 A</t>
  </si>
  <si>
    <t>TY 808</t>
  </si>
  <si>
    <t>FAME TY78 A</t>
  </si>
  <si>
    <t>TY78</t>
  </si>
  <si>
    <t>FAME TY94 A</t>
  </si>
  <si>
    <t>TY94</t>
  </si>
  <si>
    <t>FAME TY386 A</t>
  </si>
  <si>
    <t>TY386</t>
  </si>
  <si>
    <t>FAME TY296 A</t>
  </si>
  <si>
    <t>TY296</t>
  </si>
  <si>
    <t>FAME TY356 A</t>
  </si>
  <si>
    <t>TY356</t>
  </si>
  <si>
    <t>FAME TY371 A</t>
  </si>
  <si>
    <t>TY371</t>
  </si>
  <si>
    <t>FAME TY 583 A</t>
  </si>
  <si>
    <t>TY 583</t>
  </si>
  <si>
    <t>FAME TY 598 A</t>
  </si>
  <si>
    <t>TY 598</t>
  </si>
  <si>
    <t>FAME TY401 A</t>
  </si>
  <si>
    <t>TY401</t>
  </si>
  <si>
    <t>FAME TY416 A</t>
  </si>
  <si>
    <t>TY416</t>
  </si>
  <si>
    <t>FAME TY431 A</t>
  </si>
  <si>
    <t>TY431</t>
  </si>
  <si>
    <t>FAME TY 613 A</t>
  </si>
  <si>
    <t>TY 613</t>
  </si>
  <si>
    <t>FAME TY 628 A</t>
  </si>
  <si>
    <t>TY 628</t>
  </si>
  <si>
    <t>FAME TY446 A</t>
  </si>
  <si>
    <t>TY446</t>
  </si>
  <si>
    <t>FAME TY461 A</t>
  </si>
  <si>
    <t>TY461</t>
  </si>
  <si>
    <t>FAME TY476 A</t>
  </si>
  <si>
    <t>TY476</t>
  </si>
  <si>
    <t>FAME TY 673 A</t>
  </si>
  <si>
    <t>TY 673</t>
  </si>
  <si>
    <t>FAME TY 688 A</t>
  </si>
  <si>
    <t>TY 688</t>
  </si>
  <si>
    <t>FA22:5 n-3</t>
  </si>
  <si>
    <t>nmol/µL bile</t>
  </si>
  <si>
    <t>nmol/mg dry weight</t>
  </si>
  <si>
    <t>Total dry gut content (mg)</t>
  </si>
  <si>
    <t>FAME TY 641 redo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</si>
</sst>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8"/>
      <name val="Calibri"/>
      <family val="2"/>
      <scheme val="minor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95B3D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9" fontId="4" fillId="0" borderId="0" applyFont="0" applyFill="0" applyBorder="0" applyAlignment="0" applyProtection="0"/>
  </cellStyleXfs>
  <cellXfs count="58">
    <xf numFmtId="0" fontId="0" fillId="0" borderId="0" xfId="0"/>
    <xf numFmtId="0" fontId="1" fillId="0" borderId="0" xfId="1" applyAlignment="1">
      <alignment horizontal="center"/>
    </xf>
    <xf numFmtId="0" fontId="3" fillId="2" borderId="2" xfId="1" applyFont="1" applyFill="1" applyBorder="1" applyAlignment="1">
      <alignment horizontal="center"/>
    </xf>
    <xf numFmtId="164" fontId="1" fillId="0" borderId="5" xfId="1" applyNumberFormat="1" applyFill="1" applyBorder="1" applyAlignment="1">
      <alignment horizontal="center"/>
    </xf>
    <xf numFmtId="164" fontId="1" fillId="0" borderId="0" xfId="1" applyNumberFormat="1" applyAlignment="1">
      <alignment horizontal="center"/>
    </xf>
    <xf numFmtId="164" fontId="1" fillId="0" borderId="6" xfId="1" applyNumberFormat="1" applyFill="1" applyBorder="1" applyAlignment="1">
      <alignment horizontal="center"/>
    </xf>
    <xf numFmtId="164" fontId="1" fillId="0" borderId="7" xfId="1" applyNumberFormat="1" applyFill="1" applyBorder="1" applyAlignment="1">
      <alignment horizontal="center"/>
    </xf>
    <xf numFmtId="0" fontId="5" fillId="0" borderId="8" xfId="1" applyFont="1" applyFill="1" applyBorder="1" applyAlignment="1">
      <alignment horizontal="center"/>
    </xf>
    <xf numFmtId="0" fontId="2" fillId="0" borderId="8" xfId="1" applyFont="1" applyFill="1" applyBorder="1" applyAlignment="1">
      <alignment horizontal="center"/>
    </xf>
    <xf numFmtId="2" fontId="1" fillId="0" borderId="7" xfId="1" applyNumberFormat="1" applyFill="1" applyBorder="1" applyAlignment="1">
      <alignment horizontal="center"/>
    </xf>
    <xf numFmtId="0" fontId="5" fillId="0" borderId="9" xfId="1" applyFont="1" applyFill="1" applyBorder="1" applyAlignment="1">
      <alignment horizontal="center"/>
    </xf>
    <xf numFmtId="0" fontId="2" fillId="0" borderId="9" xfId="1" applyFont="1" applyFill="1" applyBorder="1" applyAlignment="1">
      <alignment horizontal="center"/>
    </xf>
    <xf numFmtId="164" fontId="1" fillId="0" borderId="11" xfId="1" applyNumberForma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7" fillId="0" borderId="7" xfId="0" applyFont="1" applyFill="1" applyBorder="1" applyAlignment="1">
      <alignment horizontal="center"/>
    </xf>
    <xf numFmtId="164" fontId="1" fillId="0" borderId="7" xfId="1" applyNumberFormat="1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6" fillId="0" borderId="7" xfId="1" applyFont="1" applyFill="1" applyBorder="1" applyAlignment="1">
      <alignment horizontal="center"/>
    </xf>
    <xf numFmtId="0" fontId="2" fillId="0" borderId="13" xfId="0" applyFont="1" applyFill="1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164" fontId="7" fillId="0" borderId="7" xfId="0" applyNumberFormat="1" applyFont="1" applyFill="1" applyBorder="1" applyAlignment="1">
      <alignment horizontal="center"/>
    </xf>
    <xf numFmtId="0" fontId="2" fillId="0" borderId="10" xfId="0" applyFont="1" applyFill="1" applyBorder="1" applyAlignment="1">
      <alignment horizontal="center"/>
    </xf>
    <xf numFmtId="0" fontId="6" fillId="0" borderId="11" xfId="1" applyFont="1" applyFill="1" applyBorder="1" applyAlignment="1">
      <alignment horizontal="center"/>
    </xf>
    <xf numFmtId="0" fontId="2" fillId="0" borderId="14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164" fontId="7" fillId="0" borderId="11" xfId="0" applyNumberFormat="1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0" fontId="3" fillId="0" borderId="3" xfId="1" applyNumberFormat="1" applyFont="1" applyFill="1" applyBorder="1" applyAlignment="1">
      <alignment horizontal="center"/>
    </xf>
    <xf numFmtId="0" fontId="3" fillId="0" borderId="4" xfId="1" applyFont="1" applyFill="1" applyBorder="1" applyAlignment="1">
      <alignment horizontal="center"/>
    </xf>
    <xf numFmtId="0" fontId="3" fillId="0" borderId="12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164" fontId="0" fillId="0" borderId="7" xfId="0" applyNumberForma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164" fontId="0" fillId="0" borderId="11" xfId="0" applyNumberFormat="1" applyFill="1" applyBorder="1" applyAlignment="1">
      <alignment horizontal="center"/>
    </xf>
    <xf numFmtId="0" fontId="3" fillId="2" borderId="15" xfId="1" applyNumberFormat="1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1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2" fillId="0" borderId="19" xfId="0" applyFont="1" applyFill="1" applyBorder="1" applyAlignment="1">
      <alignment horizontal="center"/>
    </xf>
    <xf numFmtId="0" fontId="2" fillId="0" borderId="20" xfId="0" applyFont="1" applyFill="1" applyBorder="1" applyAlignment="1">
      <alignment horizontal="center"/>
    </xf>
    <xf numFmtId="164" fontId="2" fillId="0" borderId="20" xfId="0" applyNumberFormat="1" applyFont="1" applyFill="1" applyBorder="1" applyAlignment="1">
      <alignment horizontal="center"/>
    </xf>
    <xf numFmtId="164" fontId="0" fillId="0" borderId="5" xfId="0" applyNumberFormat="1" applyFill="1" applyBorder="1" applyAlignment="1">
      <alignment horizontal="center"/>
    </xf>
    <xf numFmtId="164" fontId="2" fillId="0" borderId="8" xfId="0" applyNumberFormat="1" applyFont="1" applyFill="1" applyBorder="1" applyAlignment="1">
      <alignment horizontal="center"/>
    </xf>
    <xf numFmtId="164" fontId="2" fillId="0" borderId="9" xfId="0" applyNumberFormat="1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8" fillId="0" borderId="9" xfId="0" applyFont="1" applyFill="1" applyBorder="1" applyAlignment="1">
      <alignment horizontal="center"/>
    </xf>
    <xf numFmtId="0" fontId="3" fillId="0" borderId="15" xfId="1" applyNumberFormat="1" applyFont="1" applyFill="1" applyBorder="1" applyAlignment="1">
      <alignment horizontal="center"/>
    </xf>
    <xf numFmtId="0" fontId="3" fillId="0" borderId="15" xfId="0" applyFont="1" applyFill="1" applyBorder="1" applyAlignment="1">
      <alignment horizontal="center"/>
    </xf>
    <xf numFmtId="0" fontId="3" fillId="0" borderId="16" xfId="1" applyNumberFormat="1" applyFont="1" applyFill="1" applyBorder="1" applyAlignment="1">
      <alignment horizontal="center"/>
    </xf>
    <xf numFmtId="0" fontId="8" fillId="0" borderId="21" xfId="0" applyFont="1" applyFill="1" applyBorder="1" applyAlignment="1">
      <alignment horizontal="center"/>
    </xf>
    <xf numFmtId="164" fontId="0" fillId="0" borderId="23" xfId="0" applyNumberForma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164" fontId="10" fillId="0" borderId="0" xfId="0" applyNumberFormat="1" applyFont="1" applyFill="1" applyBorder="1" applyAlignment="1">
      <alignment horizontal="center"/>
    </xf>
    <xf numFmtId="164" fontId="0" fillId="0" borderId="0" xfId="0" applyNumberFormat="1" applyFill="1" applyBorder="1" applyAlignment="1">
      <alignment horizontal="center"/>
    </xf>
    <xf numFmtId="0" fontId="3" fillId="0" borderId="24" xfId="1" applyFont="1" applyFill="1" applyBorder="1" applyAlignment="1">
      <alignment horizontal="center"/>
    </xf>
    <xf numFmtId="164" fontId="7" fillId="0" borderId="22" xfId="0" applyNumberFormat="1" applyFont="1" applyFill="1" applyBorder="1" applyAlignment="1">
      <alignment horizontal="center"/>
    </xf>
  </cellXfs>
  <cellStyles count="3">
    <cellStyle name="Prozent 2" xfId="2" xr:uid="{00000000-0005-0000-0000-000000000000}"/>
    <cellStyle name="Standard" xfId="0" builtinId="0"/>
    <cellStyle name="Standard 2" xfId="1" xr:uid="{00000000-0005-0000-0000-000002000000}"/>
  </cellStyles>
  <dxfs count="1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rgb="FF000000"/>
          <bgColor rgb="FFFFFFFF"/>
        </patternFill>
      </fill>
      <alignment horizontal="center" vertical="bottom" textRotation="0" wrapText="0" indent="0" justifyLastLine="0" shrinkToFit="0" readingOrder="0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DCE6F1"/>
          <bgColor rgb="FFDCE6F1"/>
        </patternFill>
      </fill>
    </dxf>
    <dxf>
      <fill>
        <patternFill patternType="solid">
          <fgColor rgb="FFDCE6F1"/>
          <bgColor rgb="FFDCE6F1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4F81BD"/>
        </top>
      </border>
    </dxf>
    <dxf>
      <font>
        <b/>
        <color rgb="FFFFFFFF"/>
      </font>
      <fill>
        <patternFill patternType="solid">
          <fgColor rgb="FF4F81BD"/>
          <bgColor rgb="FF4F81BD"/>
        </patternFill>
      </fill>
    </dxf>
    <dxf>
      <font>
        <color rgb="FF000000"/>
      </font>
      <border>
        <left style="thin">
          <color rgb="FF95B3D7"/>
        </left>
        <right style="thin">
          <color rgb="FF95B3D7"/>
        </right>
        <top style="thin">
          <color rgb="FF95B3D7"/>
        </top>
        <bottom style="thin">
          <color rgb="FF95B3D7"/>
        </bottom>
        <horizontal style="thin">
          <color rgb="FF95B3D7"/>
        </horizontal>
      </border>
    </dxf>
  </dxfs>
  <tableStyles count="1" defaultTableStyle="TableStyleMedium2" defaultPivotStyle="PivotStyleLight16">
    <tableStyle name="TableStyleMedium2 2" pivot="0" count="7" xr9:uid="{00000000-0011-0000-FFFF-FFFF00000000}">
      <tableStyleElement type="wholeTable" dxfId="129"/>
      <tableStyleElement type="headerRow" dxfId="128"/>
      <tableStyleElement type="totalRow" dxfId="127"/>
      <tableStyleElement type="firstColumn" dxfId="126"/>
      <tableStyleElement type="lastColumn" dxfId="125"/>
      <tableStyleElement type="firstRowStripe" dxfId="124"/>
      <tableStyleElement type="firstColumnStripe" dxfId="12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TUM-PC\Desktop\Experiments\2019_06_04_OMM12_KF_D5-16.0_(D31-16.0)3\GCMS%20Results\Liposearch_order_Chamulitrat_May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 Sheet"/>
      <sheetName val="input"/>
    </sheetNames>
    <sheetDataSet>
      <sheetData sheetId="0"/>
      <sheetData sheetId="1">
        <row r="3">
          <cell r="C3" t="str">
            <v>Human</v>
          </cell>
          <cell r="E3" t="str">
            <v>Serum</v>
          </cell>
          <cell r="I3" t="str">
            <v>EDTA</v>
          </cell>
          <cell r="J3" t="str">
            <v>frozen</v>
          </cell>
        </row>
        <row r="4">
          <cell r="C4" t="str">
            <v>Mouse</v>
          </cell>
          <cell r="E4" t="str">
            <v>Plasma</v>
          </cell>
          <cell r="I4" t="str">
            <v>Citric acid</v>
          </cell>
          <cell r="J4" t="str">
            <v>fresh</v>
          </cell>
        </row>
        <row r="5">
          <cell r="C5" t="str">
            <v>Rat</v>
          </cell>
          <cell r="E5" t="str">
            <v>Cell culture supernatant</v>
          </cell>
          <cell r="I5" t="str">
            <v>Heparin</v>
          </cell>
        </row>
        <row r="6">
          <cell r="C6" t="str">
            <v>Rabbit</v>
          </cell>
          <cell r="E6" t="str">
            <v>Cerebrospinal fluid</v>
          </cell>
          <cell r="I6" t="str">
            <v>Nonuse</v>
          </cell>
        </row>
        <row r="7">
          <cell r="C7" t="str">
            <v>Canine</v>
          </cell>
          <cell r="E7" t="str">
            <v>Other</v>
          </cell>
        </row>
        <row r="8">
          <cell r="C8" t="str">
            <v>Monkey</v>
          </cell>
        </row>
        <row r="9">
          <cell r="C9" t="str">
            <v>Other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5" displayName="Tabelle15" ref="A1:AJ459" totalsRowShown="0" headerRowDxfId="122" dataDxfId="120" headerRowBorderDxfId="121" tableBorderDxfId="119">
  <autoFilter ref="A1:AJ459" xr:uid="{00000000-0009-0000-0100-000001000000}"/>
  <sortState xmlns:xlrd2="http://schemas.microsoft.com/office/spreadsheetml/2017/richdata2" ref="A5:AZ351">
    <sortCondition ref="C5:C351"/>
    <sortCondition ref="F5:F351"/>
    <sortCondition ref="E5:E351"/>
  </sortState>
  <tableColumns count="36">
    <tableColumn id="1" xr3:uid="{00000000-0010-0000-0000-000001000000}" name="Raw File Name" dataDxfId="118"/>
    <tableColumn id="6" xr3:uid="{00000000-0010-0000-0000-000006000000}" name="Sample Number" dataDxfId="117" dataCellStyle="Standard 2"/>
    <tableColumn id="2" xr3:uid="{00000000-0010-0000-0000-000002000000}" name="Housing" dataDxfId="116"/>
    <tableColumn id="3" xr3:uid="{00000000-0010-0000-0000-000003000000}" name="Mouse Identifier" dataDxfId="115"/>
    <tableColumn id="4" xr3:uid="{00000000-0010-0000-0000-000004000000}" name="Time (h)" dataDxfId="114"/>
    <tableColumn id="5" xr3:uid="{00000000-0010-0000-0000-000005000000}" name="Matrix" dataDxfId="113"/>
    <tableColumn id="14" xr3:uid="{00000000-0010-0000-0000-00000E000000}" name="Unit" dataDxfId="112"/>
    <tableColumn id="49" xr3:uid="{00000000-0010-0000-0000-000031000000}" name="Total FA" dataDxfId="111" dataCellStyle="Standard 2">
      <calculatedColumnFormula>SUM(I2:M2,N2:R2,S2:AJ2)</calculatedColumnFormula>
    </tableColumn>
    <tableColumn id="8" xr3:uid="{00000000-0010-0000-0000-000008000000}" name="FA10:0" dataDxfId="110"/>
    <tableColumn id="9" xr3:uid="{00000000-0010-0000-0000-000009000000}" name="FA12:0" dataDxfId="109"/>
    <tableColumn id="11" xr3:uid="{00000000-0010-0000-0000-00000B000000}" name="FA14:0" dataDxfId="108"/>
    <tableColumn id="10" xr3:uid="{00000000-0010-0000-0000-00000A000000}" name="FA14:1 n-9" dataDxfId="107" dataCellStyle="Standard 2"/>
    <tableColumn id="13" xr3:uid="{00000000-0010-0000-0000-00000D000000}" name="FA15:0" dataDxfId="106"/>
    <tableColumn id="15" xr3:uid="{00000000-0010-0000-0000-00000F000000}" name="FA 16:0 mz270" dataDxfId="105"/>
    <tableColumn id="16" xr3:uid="{00000000-0010-0000-0000-000010000000}" name="FA16:0 mz275" dataDxfId="104"/>
    <tableColumn id="17" xr3:uid="{00000000-0010-0000-0000-000011000000}" name="FA16:0 mz301" dataDxfId="103"/>
    <tableColumn id="18" xr3:uid="{00000000-0010-0000-0000-000012000000}" name="FA16:1 n-7" dataDxfId="102"/>
    <tableColumn id="19" xr3:uid="{00000000-0010-0000-0000-000013000000}" name="FA17:0" dataDxfId="101"/>
    <tableColumn id="21" xr3:uid="{00000000-0010-0000-0000-000015000000}" name="FA18:0 mz298" dataDxfId="100"/>
    <tableColumn id="22" xr3:uid="{00000000-0010-0000-0000-000016000000}" name="FA18:0 mz303" dataDxfId="99"/>
    <tableColumn id="23" xr3:uid="{00000000-0010-0000-0000-000017000000}" name="FA18:0 mz329" dataDxfId="98"/>
    <tableColumn id="24" xr3:uid="{00000000-0010-0000-0000-000018000000}" name="FA18:1 n-9" dataDxfId="97"/>
    <tableColumn id="25" xr3:uid="{00000000-0010-0000-0000-000019000000}" name="FA18:1 n-7" dataDxfId="96"/>
    <tableColumn id="26" xr3:uid="{00000000-0010-0000-0000-00001A000000}" name="FA18:2 n-6" dataDxfId="95"/>
    <tableColumn id="27" xr3:uid="{00000000-0010-0000-0000-00001B000000}" name="FA18:3 n-6" dataDxfId="94"/>
    <tableColumn id="28" xr3:uid="{00000000-0010-0000-0000-00001C000000}" name="FA18:3 n-3" dataDxfId="93"/>
    <tableColumn id="29" xr3:uid="{00000000-0010-0000-0000-00001D000000}" name="FA20:0" dataDxfId="92"/>
    <tableColumn id="30" xr3:uid="{00000000-0010-0000-0000-00001E000000}" name="FA20:1 n-9" dataDxfId="91"/>
    <tableColumn id="34" xr3:uid="{00000000-0010-0000-0000-000022000000}" name="FA20:4 n-6" dataDxfId="90"/>
    <tableColumn id="36" xr3:uid="{00000000-0010-0000-0000-000024000000}" name="FA20:4 n-3" dataDxfId="89"/>
    <tableColumn id="37" xr3:uid="{00000000-0010-0000-0000-000025000000}" name="FA22:0" dataDxfId="88"/>
    <tableColumn id="38" xr3:uid="{00000000-0010-0000-0000-000026000000}" name="FA20:5 n-3" dataDxfId="87"/>
    <tableColumn id="39" xr3:uid="{00000000-0010-0000-0000-000027000000}" name="FA22:1 n-9" dataDxfId="86"/>
    <tableColumn id="41" xr3:uid="{00000000-0010-0000-0000-000029000000}" name="FA22:4 n-6" dataDxfId="85"/>
    <tableColumn id="43" xr3:uid="{00000000-0010-0000-0000-00002B000000}" name="FA24:1 n-9" dataDxfId="84"/>
    <tableColumn id="45" xr3:uid="{00000000-0010-0000-0000-00002D000000}" name="FA22:6 n-3" dataDxfId="8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le23" displayName="Tabelle23" ref="A1:AH42" totalsRowShown="0" headerRowDxfId="82" dataDxfId="80" headerRowBorderDxfId="81" tableBorderDxfId="79" totalsRowBorderDxfId="78">
  <autoFilter ref="A1:AH42" xr:uid="{00000000-0009-0000-0100-000002000000}"/>
  <sortState xmlns:xlrd2="http://schemas.microsoft.com/office/spreadsheetml/2017/richdata2" ref="A2:AH44">
    <sortCondition ref="E5:E47"/>
    <sortCondition ref="C5:C47"/>
  </sortState>
  <tableColumns count="34">
    <tableColumn id="1" xr3:uid="{00000000-0010-0000-0100-000001000000}" name="Raw File Name" dataDxfId="77"/>
    <tableColumn id="2" xr3:uid="{00000000-0010-0000-0100-000002000000}" name="Sample Number" dataDxfId="76"/>
    <tableColumn id="3" xr3:uid="{00000000-0010-0000-0100-000003000000}" name="Housing" dataDxfId="75"/>
    <tableColumn id="4" xr3:uid="{00000000-0010-0000-0100-000004000000}" name="Mouse Identifier" dataDxfId="74"/>
    <tableColumn id="5" xr3:uid="{00000000-0010-0000-0100-000005000000}" name="Time (h)" dataDxfId="73"/>
    <tableColumn id="6" xr3:uid="{00000000-0010-0000-0100-000006000000}" name="Matrix" dataDxfId="72"/>
    <tableColumn id="52" xr3:uid="{00000000-0010-0000-0100-000034000000}" name="Unit" dataDxfId="71"/>
    <tableColumn id="7" xr3:uid="{00000000-0010-0000-0100-000007000000}" name="Total FA" dataDxfId="70">
      <calculatedColumnFormula>SUM(I2:AH2)</calculatedColumnFormula>
    </tableColumn>
    <tableColumn id="9" xr3:uid="{00000000-0010-0000-0100-000009000000}" name="FA10:0" dataDxfId="69"/>
    <tableColumn id="10" xr3:uid="{00000000-0010-0000-0100-00000A000000}" name="FA12:0" dataDxfId="68"/>
    <tableColumn id="11" xr3:uid="{00000000-0010-0000-0100-00000B000000}" name="FA14:0" dataDxfId="67"/>
    <tableColumn id="51" xr3:uid="{00000000-0010-0000-0100-000033000000}" name="FA14:1 n-9" dataDxfId="66"/>
    <tableColumn id="13" xr3:uid="{00000000-0010-0000-0100-00000D000000}" name="FA15:0" dataDxfId="65"/>
    <tableColumn id="15" xr3:uid="{00000000-0010-0000-0100-00000F000000}" name="FA 16:0 mz270" dataDxfId="64"/>
    <tableColumn id="16" xr3:uid="{00000000-0010-0000-0100-000010000000}" name="FA16:0 mz275" dataDxfId="63"/>
    <tableColumn id="17" xr3:uid="{00000000-0010-0000-0100-000011000000}" name="FA16:0 mz301" dataDxfId="62"/>
    <tableColumn id="18" xr3:uid="{00000000-0010-0000-0100-000012000000}" name="FA16:1 n-7" dataDxfId="61"/>
    <tableColumn id="19" xr3:uid="{00000000-0010-0000-0100-000013000000}" name="FA17:0" dataDxfId="60"/>
    <tableColumn id="21" xr3:uid="{00000000-0010-0000-0100-000015000000}" name="FA18:0 mz298" dataDxfId="59"/>
    <tableColumn id="22" xr3:uid="{00000000-0010-0000-0100-000016000000}" name="FA18:0 mz303" dataDxfId="58"/>
    <tableColumn id="23" xr3:uid="{00000000-0010-0000-0100-000017000000}" name="FA18:0 mz329" dataDxfId="57"/>
    <tableColumn id="24" xr3:uid="{00000000-0010-0000-0100-000018000000}" name="FA18:1 n-9" dataDxfId="56"/>
    <tableColumn id="25" xr3:uid="{00000000-0010-0000-0100-000019000000}" name="FA18:1 n-7" dataDxfId="55"/>
    <tableColumn id="26" xr3:uid="{00000000-0010-0000-0100-00001A000000}" name="FA18:2 n-6" dataDxfId="54"/>
    <tableColumn id="28" xr3:uid="{00000000-0010-0000-0100-00001C000000}" name="FA18:3 n-3" dataDxfId="53"/>
    <tableColumn id="29" xr3:uid="{00000000-0010-0000-0100-00001D000000}" name="FA20:0" dataDxfId="52"/>
    <tableColumn id="33" xr3:uid="{00000000-0010-0000-0100-000021000000}" name="FA20:4 n-6" dataDxfId="51"/>
    <tableColumn id="48" xr3:uid="{00000000-0010-0000-0100-000030000000}" name="FA20:4 n-3" dataDxfId="50"/>
    <tableColumn id="36" xr3:uid="{00000000-0010-0000-0100-000024000000}" name="FA22:0" dataDxfId="49"/>
    <tableColumn id="37" xr3:uid="{00000000-0010-0000-0100-000025000000}" name="FA20:5 n-3" dataDxfId="48"/>
    <tableColumn id="49" xr3:uid="{00000000-0010-0000-0100-000031000000}" name="FA22:1 n-9" dataDxfId="47"/>
    <tableColumn id="40" xr3:uid="{00000000-0010-0000-0100-000028000000}" name="FA22:4 n-6" dataDxfId="46"/>
    <tableColumn id="50" xr3:uid="{00000000-0010-0000-0100-000032000000}" name="FA24:1 n-9" dataDxfId="45"/>
    <tableColumn id="44" xr3:uid="{00000000-0010-0000-0100-00002C000000}" name="FA22:6 n-3" dataDxfId="4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le7" displayName="Tabelle7" ref="A1:AI185" totalsRowShown="0" headerRowDxfId="43" dataDxfId="41" headerRowBorderDxfId="42" tableBorderDxfId="40">
  <autoFilter ref="A1:AI185" xr:uid="{00000000-0009-0000-0100-000003000000}"/>
  <sortState xmlns:xlrd2="http://schemas.microsoft.com/office/spreadsheetml/2017/richdata2" ref="A2:AI185">
    <sortCondition ref="F2:F185"/>
    <sortCondition ref="E2:E185"/>
    <sortCondition ref="C2:C185"/>
  </sortState>
  <tableColumns count="35">
    <tableColumn id="1" xr3:uid="{00000000-0010-0000-0200-000001000000}" name="Raw File Name" dataDxfId="39"/>
    <tableColumn id="2" xr3:uid="{00000000-0010-0000-0200-000002000000}" name="Sample Number" dataDxfId="38"/>
    <tableColumn id="3" xr3:uid="{00000000-0010-0000-0200-000003000000}" name="Housing" dataDxfId="37"/>
    <tableColumn id="4" xr3:uid="{00000000-0010-0000-0200-000004000000}" name="Mouse Identifier" dataDxfId="36"/>
    <tableColumn id="5" xr3:uid="{00000000-0010-0000-0200-000005000000}" name="Time (h)" dataDxfId="35"/>
    <tableColumn id="6" xr3:uid="{00000000-0010-0000-0200-000006000000}" name="Matrix" dataDxfId="34"/>
    <tableColumn id="11" xr3:uid="{3813D407-385E-4885-914C-8146A1AA1D3B}" name="Total dry gut content (mg)" dataDxfId="7"/>
    <tableColumn id="52" xr3:uid="{00000000-0010-0000-0200-000034000000}" name="Unit" dataDxfId="33"/>
    <tableColumn id="7" xr3:uid="{00000000-0010-0000-0200-000007000000}" name="Total FA" dataDxfId="32">
      <calculatedColumnFormula>SUM(J2:AI2)</calculatedColumnFormula>
    </tableColumn>
    <tableColumn id="9" xr3:uid="{00000000-0010-0000-0200-000009000000}" name="FA10:0" dataDxfId="31"/>
    <tableColumn id="10" xr3:uid="{00000000-0010-0000-0200-00000A000000}" name="FA12:0" dataDxfId="30"/>
    <tableColumn id="12" xr3:uid="{00000000-0010-0000-0200-00000C000000}" name="FA14:0" dataDxfId="29"/>
    <tableColumn id="50" xr3:uid="{00000000-0010-0000-0200-000032000000}" name="FA14:1 n-9" dataDxfId="28"/>
    <tableColumn id="14" xr3:uid="{00000000-0010-0000-0200-00000E000000}" name="FA15:0" dataDxfId="27"/>
    <tableColumn id="16" xr3:uid="{00000000-0010-0000-0200-000010000000}" name="FA 16:0 mz270" dataDxfId="26"/>
    <tableColumn id="17" xr3:uid="{00000000-0010-0000-0200-000011000000}" name="FA16:0 mz275" dataDxfId="25"/>
    <tableColumn id="18" xr3:uid="{00000000-0010-0000-0200-000012000000}" name="FA16:0 mz301" dataDxfId="24"/>
    <tableColumn id="19" xr3:uid="{00000000-0010-0000-0200-000013000000}" name="FA16:1 n-7" dataDxfId="23"/>
    <tableColumn id="20" xr3:uid="{00000000-0010-0000-0200-000014000000}" name="FA17:0" dataDxfId="22"/>
    <tableColumn id="22" xr3:uid="{00000000-0010-0000-0200-000016000000}" name="FA18:0 mz298" dataDxfId="21"/>
    <tableColumn id="23" xr3:uid="{00000000-0010-0000-0200-000017000000}" name="FA18:0 mz303" dataDxfId="20"/>
    <tableColumn id="24" xr3:uid="{00000000-0010-0000-0200-000018000000}" name="FA18:0 mz329" dataDxfId="19"/>
    <tableColumn id="25" xr3:uid="{00000000-0010-0000-0200-000019000000}" name="FA18:1 n-9" dataDxfId="18"/>
    <tableColumn id="26" xr3:uid="{00000000-0010-0000-0200-00001A000000}" name="FA18:1 n-7" dataDxfId="17"/>
    <tableColumn id="27" xr3:uid="{00000000-0010-0000-0200-00001B000000}" name="FA18:2 n-6" dataDxfId="16"/>
    <tableColumn id="29" xr3:uid="{00000000-0010-0000-0200-00001D000000}" name="FA18:3 n-3" dataDxfId="15"/>
    <tableColumn id="30" xr3:uid="{00000000-0010-0000-0200-00001E000000}" name="FA20:0" dataDxfId="14"/>
    <tableColumn id="35" xr3:uid="{00000000-0010-0000-0200-000023000000}" name="FA20:4 n-6" dataDxfId="13"/>
    <tableColumn id="51" xr3:uid="{00000000-0010-0000-0200-000033000000}" name="FA20:4 n-3" dataDxfId="12"/>
    <tableColumn id="38" xr3:uid="{00000000-0010-0000-0200-000026000000}" name="FA22:0" dataDxfId="11"/>
    <tableColumn id="8" xr3:uid="{00000000-0010-0000-0200-000008000000}" name="FA23:0" dataDxfId="5"/>
    <tableColumn id="42" xr3:uid="{00000000-0010-0000-0200-00002A000000}" name="FA22:4 n-6" dataDxfId="6"/>
    <tableColumn id="44" xr3:uid="{00000000-0010-0000-0200-00002C000000}" name="FA24:1 n-9" dataDxfId="10"/>
    <tableColumn id="45" xr3:uid="{00000000-0010-0000-0200-00002D000000}" name="FA22:5 n-3" dataDxfId="9"/>
    <tableColumn id="46" xr3:uid="{00000000-0010-0000-0200-00002E000000}" name="FA22:6 n-3" dataDxf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459"/>
  <sheetViews>
    <sheetView workbookViewId="0">
      <pane ySplit="1" topLeftCell="A2" activePane="bottomLeft" state="frozen"/>
      <selection pane="bottomLeft" activeCell="AD1" sqref="AD1"/>
    </sheetView>
  </sheetViews>
  <sheetFormatPr baseColWidth="10" defaultRowHeight="13.2" x14ac:dyDescent="0.25"/>
  <cols>
    <col min="1" max="2" width="24.44140625" style="1" customWidth="1"/>
    <col min="3" max="3" width="15.33203125" style="1" customWidth="1"/>
    <col min="4" max="4" width="21.88671875" style="1" customWidth="1"/>
    <col min="5" max="5" width="13.6640625" style="1" customWidth="1"/>
    <col min="6" max="7" width="14" style="1" customWidth="1"/>
    <col min="8" max="8" width="20.88671875" style="1" bestFit="1" customWidth="1"/>
    <col min="9" max="11" width="11.5546875" style="1" bestFit="1" customWidth="1"/>
    <col min="12" max="12" width="11.5546875" style="1" customWidth="1"/>
    <col min="13" max="13" width="11.5546875" style="1" bestFit="1" customWidth="1"/>
    <col min="14" max="15" width="18.44140625" style="1" bestFit="1" customWidth="1"/>
    <col min="16" max="16" width="18.88671875" style="1" customWidth="1"/>
    <col min="17" max="17" width="18.5546875" style="1" bestFit="1" customWidth="1"/>
    <col min="18" max="18" width="11.5546875" style="1" bestFit="1" customWidth="1"/>
    <col min="19" max="21" width="17.88671875" style="1" bestFit="1" customWidth="1"/>
    <col min="22" max="22" width="18.5546875" style="1" bestFit="1" customWidth="1"/>
    <col min="23" max="23" width="19.5546875" style="1" bestFit="1" customWidth="1"/>
    <col min="24" max="24" width="22.33203125" style="1" bestFit="1" customWidth="1"/>
    <col min="25" max="25" width="24.88671875" style="1" bestFit="1" customWidth="1"/>
    <col min="26" max="26" width="26" style="1" bestFit="1" customWidth="1"/>
    <col min="27" max="27" width="11.5546875" style="1" bestFit="1" customWidth="1"/>
    <col min="28" max="28" width="19.5546875" style="1" bestFit="1" customWidth="1"/>
    <col min="29" max="29" width="28.5546875" style="1" bestFit="1" customWidth="1"/>
    <col min="30" max="30" width="29.5546875" style="1" bestFit="1" customWidth="1"/>
    <col min="31" max="31" width="25" style="1" bestFit="1" customWidth="1"/>
    <col min="32" max="32" width="32.33203125" style="1" bestFit="1" customWidth="1"/>
    <col min="33" max="33" width="19.5546875" style="1" bestFit="1" customWidth="1"/>
    <col min="34" max="34" width="29.5546875" style="1" bestFit="1" customWidth="1"/>
    <col min="35" max="35" width="19.5546875" style="1" bestFit="1" customWidth="1"/>
    <col min="36" max="36" width="35.88671875" style="1" bestFit="1" customWidth="1"/>
    <col min="37" max="244" width="11.44140625" style="1"/>
    <col min="245" max="249" width="24.44140625" style="1" customWidth="1"/>
    <col min="250" max="250" width="14" style="1" customWidth="1"/>
    <col min="251" max="251" width="12" style="1" bestFit="1" customWidth="1"/>
    <col min="252" max="255" width="9.109375" style="1" customWidth="1"/>
    <col min="256" max="256" width="16.109375" style="1" customWidth="1"/>
    <col min="257" max="258" width="9.109375" style="1" customWidth="1"/>
    <col min="259" max="261" width="16" style="1" customWidth="1"/>
    <col min="262" max="262" width="16.109375" style="1" customWidth="1"/>
    <col min="263" max="264" width="9.109375" style="1" customWidth="1"/>
    <col min="265" max="267" width="15.44140625" style="1" customWidth="1"/>
    <col min="268" max="268" width="16.109375" style="1" customWidth="1"/>
    <col min="269" max="269" width="17.109375" style="1" customWidth="1"/>
    <col min="270" max="270" width="19.6640625" style="1" customWidth="1"/>
    <col min="271" max="271" width="22.33203125" style="1" customWidth="1"/>
    <col min="272" max="272" width="23.33203125" style="1" customWidth="1"/>
    <col min="273" max="273" width="9.109375" style="1" customWidth="1"/>
    <col min="274" max="274" width="17.109375" style="1" customWidth="1"/>
    <col min="275" max="275" width="11.6640625" style="1" customWidth="1"/>
    <col min="276" max="276" width="22.44140625" style="1" customWidth="1"/>
    <col min="277" max="277" width="25" style="1" customWidth="1"/>
    <col min="278" max="278" width="25.88671875" style="1" customWidth="1"/>
    <col min="279" max="279" width="24.33203125" style="1" customWidth="1"/>
    <col min="280" max="280" width="26.88671875" style="1" customWidth="1"/>
    <col min="281" max="281" width="9.109375" style="1" customWidth="1"/>
    <col min="282" max="282" width="29.44140625" style="1" customWidth="1"/>
    <col min="283" max="283" width="17.109375" style="1" customWidth="1"/>
    <col min="284" max="284" width="9.109375" style="1" customWidth="1"/>
    <col min="285" max="285" width="26.88671875" style="1" customWidth="1"/>
    <col min="286" max="286" width="9.109375" style="1" customWidth="1"/>
    <col min="287" max="287" width="17.109375" style="1" customWidth="1"/>
    <col min="288" max="288" width="30.44140625" style="1" customWidth="1"/>
    <col min="289" max="289" width="33" style="1" customWidth="1"/>
    <col min="290" max="292" width="9.6640625" style="1" customWidth="1"/>
    <col min="293" max="500" width="11.44140625" style="1"/>
    <col min="501" max="505" width="24.44140625" style="1" customWidth="1"/>
    <col min="506" max="506" width="14" style="1" customWidth="1"/>
    <col min="507" max="507" width="12" style="1" bestFit="1" customWidth="1"/>
    <col min="508" max="511" width="9.109375" style="1" customWidth="1"/>
    <col min="512" max="512" width="16.109375" style="1" customWidth="1"/>
    <col min="513" max="514" width="9.109375" style="1" customWidth="1"/>
    <col min="515" max="517" width="16" style="1" customWidth="1"/>
    <col min="518" max="518" width="16.109375" style="1" customWidth="1"/>
    <col min="519" max="520" width="9.109375" style="1" customWidth="1"/>
    <col min="521" max="523" width="15.44140625" style="1" customWidth="1"/>
    <col min="524" max="524" width="16.109375" style="1" customWidth="1"/>
    <col min="525" max="525" width="17.109375" style="1" customWidth="1"/>
    <col min="526" max="526" width="19.6640625" style="1" customWidth="1"/>
    <col min="527" max="527" width="22.33203125" style="1" customWidth="1"/>
    <col min="528" max="528" width="23.33203125" style="1" customWidth="1"/>
    <col min="529" max="529" width="9.109375" style="1" customWidth="1"/>
    <col min="530" max="530" width="17.109375" style="1" customWidth="1"/>
    <col min="531" max="531" width="11.6640625" style="1" customWidth="1"/>
    <col min="532" max="532" width="22.44140625" style="1" customWidth="1"/>
    <col min="533" max="533" width="25" style="1" customWidth="1"/>
    <col min="534" max="534" width="25.88671875" style="1" customWidth="1"/>
    <col min="535" max="535" width="24.33203125" style="1" customWidth="1"/>
    <col min="536" max="536" width="26.88671875" style="1" customWidth="1"/>
    <col min="537" max="537" width="9.109375" style="1" customWidth="1"/>
    <col min="538" max="538" width="29.44140625" style="1" customWidth="1"/>
    <col min="539" max="539" width="17.109375" style="1" customWidth="1"/>
    <col min="540" max="540" width="9.109375" style="1" customWidth="1"/>
    <col min="541" max="541" width="26.88671875" style="1" customWidth="1"/>
    <col min="542" max="542" width="9.109375" style="1" customWidth="1"/>
    <col min="543" max="543" width="17.109375" style="1" customWidth="1"/>
    <col min="544" max="544" width="30.44140625" style="1" customWidth="1"/>
    <col min="545" max="545" width="33" style="1" customWidth="1"/>
    <col min="546" max="548" width="9.6640625" style="1" customWidth="1"/>
    <col min="549" max="756" width="11.44140625" style="1"/>
    <col min="757" max="761" width="24.44140625" style="1" customWidth="1"/>
    <col min="762" max="762" width="14" style="1" customWidth="1"/>
    <col min="763" max="763" width="12" style="1" bestFit="1" customWidth="1"/>
    <col min="764" max="767" width="9.109375" style="1" customWidth="1"/>
    <col min="768" max="768" width="16.109375" style="1" customWidth="1"/>
    <col min="769" max="770" width="9.109375" style="1" customWidth="1"/>
    <col min="771" max="773" width="16" style="1" customWidth="1"/>
    <col min="774" max="774" width="16.109375" style="1" customWidth="1"/>
    <col min="775" max="776" width="9.109375" style="1" customWidth="1"/>
    <col min="777" max="779" width="15.44140625" style="1" customWidth="1"/>
    <col min="780" max="780" width="16.109375" style="1" customWidth="1"/>
    <col min="781" max="781" width="17.109375" style="1" customWidth="1"/>
    <col min="782" max="782" width="19.6640625" style="1" customWidth="1"/>
    <col min="783" max="783" width="22.33203125" style="1" customWidth="1"/>
    <col min="784" max="784" width="23.33203125" style="1" customWidth="1"/>
    <col min="785" max="785" width="9.109375" style="1" customWidth="1"/>
    <col min="786" max="786" width="17.109375" style="1" customWidth="1"/>
    <col min="787" max="787" width="11.6640625" style="1" customWidth="1"/>
    <col min="788" max="788" width="22.44140625" style="1" customWidth="1"/>
    <col min="789" max="789" width="25" style="1" customWidth="1"/>
    <col min="790" max="790" width="25.88671875" style="1" customWidth="1"/>
    <col min="791" max="791" width="24.33203125" style="1" customWidth="1"/>
    <col min="792" max="792" width="26.88671875" style="1" customWidth="1"/>
    <col min="793" max="793" width="9.109375" style="1" customWidth="1"/>
    <col min="794" max="794" width="29.44140625" style="1" customWidth="1"/>
    <col min="795" max="795" width="17.109375" style="1" customWidth="1"/>
    <col min="796" max="796" width="9.109375" style="1" customWidth="1"/>
    <col min="797" max="797" width="26.88671875" style="1" customWidth="1"/>
    <col min="798" max="798" width="9.109375" style="1" customWidth="1"/>
    <col min="799" max="799" width="17.109375" style="1" customWidth="1"/>
    <col min="800" max="800" width="30.44140625" style="1" customWidth="1"/>
    <col min="801" max="801" width="33" style="1" customWidth="1"/>
    <col min="802" max="804" width="9.6640625" style="1" customWidth="1"/>
    <col min="805" max="1012" width="11.44140625" style="1"/>
    <col min="1013" max="1017" width="24.44140625" style="1" customWidth="1"/>
    <col min="1018" max="1018" width="14" style="1" customWidth="1"/>
    <col min="1019" max="1019" width="12" style="1" bestFit="1" customWidth="1"/>
    <col min="1020" max="1023" width="9.109375" style="1" customWidth="1"/>
    <col min="1024" max="1024" width="16.109375" style="1" customWidth="1"/>
    <col min="1025" max="1026" width="9.109375" style="1" customWidth="1"/>
    <col min="1027" max="1029" width="16" style="1" customWidth="1"/>
    <col min="1030" max="1030" width="16.109375" style="1" customWidth="1"/>
    <col min="1031" max="1032" width="9.109375" style="1" customWidth="1"/>
    <col min="1033" max="1035" width="15.44140625" style="1" customWidth="1"/>
    <col min="1036" max="1036" width="16.109375" style="1" customWidth="1"/>
    <col min="1037" max="1037" width="17.109375" style="1" customWidth="1"/>
    <col min="1038" max="1038" width="19.6640625" style="1" customWidth="1"/>
    <col min="1039" max="1039" width="22.33203125" style="1" customWidth="1"/>
    <col min="1040" max="1040" width="23.33203125" style="1" customWidth="1"/>
    <col min="1041" max="1041" width="9.109375" style="1" customWidth="1"/>
    <col min="1042" max="1042" width="17.109375" style="1" customWidth="1"/>
    <col min="1043" max="1043" width="11.6640625" style="1" customWidth="1"/>
    <col min="1044" max="1044" width="22.44140625" style="1" customWidth="1"/>
    <col min="1045" max="1045" width="25" style="1" customWidth="1"/>
    <col min="1046" max="1046" width="25.88671875" style="1" customWidth="1"/>
    <col min="1047" max="1047" width="24.33203125" style="1" customWidth="1"/>
    <col min="1048" max="1048" width="26.88671875" style="1" customWidth="1"/>
    <col min="1049" max="1049" width="9.109375" style="1" customWidth="1"/>
    <col min="1050" max="1050" width="29.44140625" style="1" customWidth="1"/>
    <col min="1051" max="1051" width="17.109375" style="1" customWidth="1"/>
    <col min="1052" max="1052" width="9.109375" style="1" customWidth="1"/>
    <col min="1053" max="1053" width="26.88671875" style="1" customWidth="1"/>
    <col min="1054" max="1054" width="9.109375" style="1" customWidth="1"/>
    <col min="1055" max="1055" width="17.109375" style="1" customWidth="1"/>
    <col min="1056" max="1056" width="30.44140625" style="1" customWidth="1"/>
    <col min="1057" max="1057" width="33" style="1" customWidth="1"/>
    <col min="1058" max="1060" width="9.6640625" style="1" customWidth="1"/>
    <col min="1061" max="1268" width="11.44140625" style="1"/>
    <col min="1269" max="1273" width="24.44140625" style="1" customWidth="1"/>
    <col min="1274" max="1274" width="14" style="1" customWidth="1"/>
    <col min="1275" max="1275" width="12" style="1" bestFit="1" customWidth="1"/>
    <col min="1276" max="1279" width="9.109375" style="1" customWidth="1"/>
    <col min="1280" max="1280" width="16.109375" style="1" customWidth="1"/>
    <col min="1281" max="1282" width="9.109375" style="1" customWidth="1"/>
    <col min="1283" max="1285" width="16" style="1" customWidth="1"/>
    <col min="1286" max="1286" width="16.109375" style="1" customWidth="1"/>
    <col min="1287" max="1288" width="9.109375" style="1" customWidth="1"/>
    <col min="1289" max="1291" width="15.44140625" style="1" customWidth="1"/>
    <col min="1292" max="1292" width="16.109375" style="1" customWidth="1"/>
    <col min="1293" max="1293" width="17.109375" style="1" customWidth="1"/>
    <col min="1294" max="1294" width="19.6640625" style="1" customWidth="1"/>
    <col min="1295" max="1295" width="22.33203125" style="1" customWidth="1"/>
    <col min="1296" max="1296" width="23.33203125" style="1" customWidth="1"/>
    <col min="1297" max="1297" width="9.109375" style="1" customWidth="1"/>
    <col min="1298" max="1298" width="17.109375" style="1" customWidth="1"/>
    <col min="1299" max="1299" width="11.6640625" style="1" customWidth="1"/>
    <col min="1300" max="1300" width="22.44140625" style="1" customWidth="1"/>
    <col min="1301" max="1301" width="25" style="1" customWidth="1"/>
    <col min="1302" max="1302" width="25.88671875" style="1" customWidth="1"/>
    <col min="1303" max="1303" width="24.33203125" style="1" customWidth="1"/>
    <col min="1304" max="1304" width="26.88671875" style="1" customWidth="1"/>
    <col min="1305" max="1305" width="9.109375" style="1" customWidth="1"/>
    <col min="1306" max="1306" width="29.44140625" style="1" customWidth="1"/>
    <col min="1307" max="1307" width="17.109375" style="1" customWidth="1"/>
    <col min="1308" max="1308" width="9.109375" style="1" customWidth="1"/>
    <col min="1309" max="1309" width="26.88671875" style="1" customWidth="1"/>
    <col min="1310" max="1310" width="9.109375" style="1" customWidth="1"/>
    <col min="1311" max="1311" width="17.109375" style="1" customWidth="1"/>
    <col min="1312" max="1312" width="30.44140625" style="1" customWidth="1"/>
    <col min="1313" max="1313" width="33" style="1" customWidth="1"/>
    <col min="1314" max="1316" width="9.6640625" style="1" customWidth="1"/>
    <col min="1317" max="1524" width="11.44140625" style="1"/>
    <col min="1525" max="1529" width="24.44140625" style="1" customWidth="1"/>
    <col min="1530" max="1530" width="14" style="1" customWidth="1"/>
    <col min="1531" max="1531" width="12" style="1" bestFit="1" customWidth="1"/>
    <col min="1532" max="1535" width="9.109375" style="1" customWidth="1"/>
    <col min="1536" max="1536" width="16.109375" style="1" customWidth="1"/>
    <col min="1537" max="1538" width="9.109375" style="1" customWidth="1"/>
    <col min="1539" max="1541" width="16" style="1" customWidth="1"/>
    <col min="1542" max="1542" width="16.109375" style="1" customWidth="1"/>
    <col min="1543" max="1544" width="9.109375" style="1" customWidth="1"/>
    <col min="1545" max="1547" width="15.44140625" style="1" customWidth="1"/>
    <col min="1548" max="1548" width="16.109375" style="1" customWidth="1"/>
    <col min="1549" max="1549" width="17.109375" style="1" customWidth="1"/>
    <col min="1550" max="1550" width="19.6640625" style="1" customWidth="1"/>
    <col min="1551" max="1551" width="22.33203125" style="1" customWidth="1"/>
    <col min="1552" max="1552" width="23.33203125" style="1" customWidth="1"/>
    <col min="1553" max="1553" width="9.109375" style="1" customWidth="1"/>
    <col min="1554" max="1554" width="17.109375" style="1" customWidth="1"/>
    <col min="1555" max="1555" width="11.6640625" style="1" customWidth="1"/>
    <col min="1556" max="1556" width="22.44140625" style="1" customWidth="1"/>
    <col min="1557" max="1557" width="25" style="1" customWidth="1"/>
    <col min="1558" max="1558" width="25.88671875" style="1" customWidth="1"/>
    <col min="1559" max="1559" width="24.33203125" style="1" customWidth="1"/>
    <col min="1560" max="1560" width="26.88671875" style="1" customWidth="1"/>
    <col min="1561" max="1561" width="9.109375" style="1" customWidth="1"/>
    <col min="1562" max="1562" width="29.44140625" style="1" customWidth="1"/>
    <col min="1563" max="1563" width="17.109375" style="1" customWidth="1"/>
    <col min="1564" max="1564" width="9.109375" style="1" customWidth="1"/>
    <col min="1565" max="1565" width="26.88671875" style="1" customWidth="1"/>
    <col min="1566" max="1566" width="9.109375" style="1" customWidth="1"/>
    <col min="1567" max="1567" width="17.109375" style="1" customWidth="1"/>
    <col min="1568" max="1568" width="30.44140625" style="1" customWidth="1"/>
    <col min="1569" max="1569" width="33" style="1" customWidth="1"/>
    <col min="1570" max="1572" width="9.6640625" style="1" customWidth="1"/>
    <col min="1573" max="1780" width="11.44140625" style="1"/>
    <col min="1781" max="1785" width="24.44140625" style="1" customWidth="1"/>
    <col min="1786" max="1786" width="14" style="1" customWidth="1"/>
    <col min="1787" max="1787" width="12" style="1" bestFit="1" customWidth="1"/>
    <col min="1788" max="1791" width="9.109375" style="1" customWidth="1"/>
    <col min="1792" max="1792" width="16.109375" style="1" customWidth="1"/>
    <col min="1793" max="1794" width="9.109375" style="1" customWidth="1"/>
    <col min="1795" max="1797" width="16" style="1" customWidth="1"/>
    <col min="1798" max="1798" width="16.109375" style="1" customWidth="1"/>
    <col min="1799" max="1800" width="9.109375" style="1" customWidth="1"/>
    <col min="1801" max="1803" width="15.44140625" style="1" customWidth="1"/>
    <col min="1804" max="1804" width="16.109375" style="1" customWidth="1"/>
    <col min="1805" max="1805" width="17.109375" style="1" customWidth="1"/>
    <col min="1806" max="1806" width="19.6640625" style="1" customWidth="1"/>
    <col min="1807" max="1807" width="22.33203125" style="1" customWidth="1"/>
    <col min="1808" max="1808" width="23.33203125" style="1" customWidth="1"/>
    <col min="1809" max="1809" width="9.109375" style="1" customWidth="1"/>
    <col min="1810" max="1810" width="17.109375" style="1" customWidth="1"/>
    <col min="1811" max="1811" width="11.6640625" style="1" customWidth="1"/>
    <col min="1812" max="1812" width="22.44140625" style="1" customWidth="1"/>
    <col min="1813" max="1813" width="25" style="1" customWidth="1"/>
    <col min="1814" max="1814" width="25.88671875" style="1" customWidth="1"/>
    <col min="1815" max="1815" width="24.33203125" style="1" customWidth="1"/>
    <col min="1816" max="1816" width="26.88671875" style="1" customWidth="1"/>
    <col min="1817" max="1817" width="9.109375" style="1" customWidth="1"/>
    <col min="1818" max="1818" width="29.44140625" style="1" customWidth="1"/>
    <col min="1819" max="1819" width="17.109375" style="1" customWidth="1"/>
    <col min="1820" max="1820" width="9.109375" style="1" customWidth="1"/>
    <col min="1821" max="1821" width="26.88671875" style="1" customWidth="1"/>
    <col min="1822" max="1822" width="9.109375" style="1" customWidth="1"/>
    <col min="1823" max="1823" width="17.109375" style="1" customWidth="1"/>
    <col min="1824" max="1824" width="30.44140625" style="1" customWidth="1"/>
    <col min="1825" max="1825" width="33" style="1" customWidth="1"/>
    <col min="1826" max="1828" width="9.6640625" style="1" customWidth="1"/>
    <col min="1829" max="2036" width="11.44140625" style="1"/>
    <col min="2037" max="2041" width="24.44140625" style="1" customWidth="1"/>
    <col min="2042" max="2042" width="14" style="1" customWidth="1"/>
    <col min="2043" max="2043" width="12" style="1" bestFit="1" customWidth="1"/>
    <col min="2044" max="2047" width="9.109375" style="1" customWidth="1"/>
    <col min="2048" max="2048" width="16.109375" style="1" customWidth="1"/>
    <col min="2049" max="2050" width="9.109375" style="1" customWidth="1"/>
    <col min="2051" max="2053" width="16" style="1" customWidth="1"/>
    <col min="2054" max="2054" width="16.109375" style="1" customWidth="1"/>
    <col min="2055" max="2056" width="9.109375" style="1" customWidth="1"/>
    <col min="2057" max="2059" width="15.44140625" style="1" customWidth="1"/>
    <col min="2060" max="2060" width="16.109375" style="1" customWidth="1"/>
    <col min="2061" max="2061" width="17.109375" style="1" customWidth="1"/>
    <col min="2062" max="2062" width="19.6640625" style="1" customWidth="1"/>
    <col min="2063" max="2063" width="22.33203125" style="1" customWidth="1"/>
    <col min="2064" max="2064" width="23.33203125" style="1" customWidth="1"/>
    <col min="2065" max="2065" width="9.109375" style="1" customWidth="1"/>
    <col min="2066" max="2066" width="17.109375" style="1" customWidth="1"/>
    <col min="2067" max="2067" width="11.6640625" style="1" customWidth="1"/>
    <col min="2068" max="2068" width="22.44140625" style="1" customWidth="1"/>
    <col min="2069" max="2069" width="25" style="1" customWidth="1"/>
    <col min="2070" max="2070" width="25.88671875" style="1" customWidth="1"/>
    <col min="2071" max="2071" width="24.33203125" style="1" customWidth="1"/>
    <col min="2072" max="2072" width="26.88671875" style="1" customWidth="1"/>
    <col min="2073" max="2073" width="9.109375" style="1" customWidth="1"/>
    <col min="2074" max="2074" width="29.44140625" style="1" customWidth="1"/>
    <col min="2075" max="2075" width="17.109375" style="1" customWidth="1"/>
    <col min="2076" max="2076" width="9.109375" style="1" customWidth="1"/>
    <col min="2077" max="2077" width="26.88671875" style="1" customWidth="1"/>
    <col min="2078" max="2078" width="9.109375" style="1" customWidth="1"/>
    <col min="2079" max="2079" width="17.109375" style="1" customWidth="1"/>
    <col min="2080" max="2080" width="30.44140625" style="1" customWidth="1"/>
    <col min="2081" max="2081" width="33" style="1" customWidth="1"/>
    <col min="2082" max="2084" width="9.6640625" style="1" customWidth="1"/>
    <col min="2085" max="2292" width="11.44140625" style="1"/>
    <col min="2293" max="2297" width="24.44140625" style="1" customWidth="1"/>
    <col min="2298" max="2298" width="14" style="1" customWidth="1"/>
    <col min="2299" max="2299" width="12" style="1" bestFit="1" customWidth="1"/>
    <col min="2300" max="2303" width="9.109375" style="1" customWidth="1"/>
    <col min="2304" max="2304" width="16.109375" style="1" customWidth="1"/>
    <col min="2305" max="2306" width="9.109375" style="1" customWidth="1"/>
    <col min="2307" max="2309" width="16" style="1" customWidth="1"/>
    <col min="2310" max="2310" width="16.109375" style="1" customWidth="1"/>
    <col min="2311" max="2312" width="9.109375" style="1" customWidth="1"/>
    <col min="2313" max="2315" width="15.44140625" style="1" customWidth="1"/>
    <col min="2316" max="2316" width="16.109375" style="1" customWidth="1"/>
    <col min="2317" max="2317" width="17.109375" style="1" customWidth="1"/>
    <col min="2318" max="2318" width="19.6640625" style="1" customWidth="1"/>
    <col min="2319" max="2319" width="22.33203125" style="1" customWidth="1"/>
    <col min="2320" max="2320" width="23.33203125" style="1" customWidth="1"/>
    <col min="2321" max="2321" width="9.109375" style="1" customWidth="1"/>
    <col min="2322" max="2322" width="17.109375" style="1" customWidth="1"/>
    <col min="2323" max="2323" width="11.6640625" style="1" customWidth="1"/>
    <col min="2324" max="2324" width="22.44140625" style="1" customWidth="1"/>
    <col min="2325" max="2325" width="25" style="1" customWidth="1"/>
    <col min="2326" max="2326" width="25.88671875" style="1" customWidth="1"/>
    <col min="2327" max="2327" width="24.33203125" style="1" customWidth="1"/>
    <col min="2328" max="2328" width="26.88671875" style="1" customWidth="1"/>
    <col min="2329" max="2329" width="9.109375" style="1" customWidth="1"/>
    <col min="2330" max="2330" width="29.44140625" style="1" customWidth="1"/>
    <col min="2331" max="2331" width="17.109375" style="1" customWidth="1"/>
    <col min="2332" max="2332" width="9.109375" style="1" customWidth="1"/>
    <col min="2333" max="2333" width="26.88671875" style="1" customWidth="1"/>
    <col min="2334" max="2334" width="9.109375" style="1" customWidth="1"/>
    <col min="2335" max="2335" width="17.109375" style="1" customWidth="1"/>
    <col min="2336" max="2336" width="30.44140625" style="1" customWidth="1"/>
    <col min="2337" max="2337" width="33" style="1" customWidth="1"/>
    <col min="2338" max="2340" width="9.6640625" style="1" customWidth="1"/>
    <col min="2341" max="2548" width="11.44140625" style="1"/>
    <col min="2549" max="2553" width="24.44140625" style="1" customWidth="1"/>
    <col min="2554" max="2554" width="14" style="1" customWidth="1"/>
    <col min="2555" max="2555" width="12" style="1" bestFit="1" customWidth="1"/>
    <col min="2556" max="2559" width="9.109375" style="1" customWidth="1"/>
    <col min="2560" max="2560" width="16.109375" style="1" customWidth="1"/>
    <col min="2561" max="2562" width="9.109375" style="1" customWidth="1"/>
    <col min="2563" max="2565" width="16" style="1" customWidth="1"/>
    <col min="2566" max="2566" width="16.109375" style="1" customWidth="1"/>
    <col min="2567" max="2568" width="9.109375" style="1" customWidth="1"/>
    <col min="2569" max="2571" width="15.44140625" style="1" customWidth="1"/>
    <col min="2572" max="2572" width="16.109375" style="1" customWidth="1"/>
    <col min="2573" max="2573" width="17.109375" style="1" customWidth="1"/>
    <col min="2574" max="2574" width="19.6640625" style="1" customWidth="1"/>
    <col min="2575" max="2575" width="22.33203125" style="1" customWidth="1"/>
    <col min="2576" max="2576" width="23.33203125" style="1" customWidth="1"/>
    <col min="2577" max="2577" width="9.109375" style="1" customWidth="1"/>
    <col min="2578" max="2578" width="17.109375" style="1" customWidth="1"/>
    <col min="2579" max="2579" width="11.6640625" style="1" customWidth="1"/>
    <col min="2580" max="2580" width="22.44140625" style="1" customWidth="1"/>
    <col min="2581" max="2581" width="25" style="1" customWidth="1"/>
    <col min="2582" max="2582" width="25.88671875" style="1" customWidth="1"/>
    <col min="2583" max="2583" width="24.33203125" style="1" customWidth="1"/>
    <col min="2584" max="2584" width="26.88671875" style="1" customWidth="1"/>
    <col min="2585" max="2585" width="9.109375" style="1" customWidth="1"/>
    <col min="2586" max="2586" width="29.44140625" style="1" customWidth="1"/>
    <col min="2587" max="2587" width="17.109375" style="1" customWidth="1"/>
    <col min="2588" max="2588" width="9.109375" style="1" customWidth="1"/>
    <col min="2589" max="2589" width="26.88671875" style="1" customWidth="1"/>
    <col min="2590" max="2590" width="9.109375" style="1" customWidth="1"/>
    <col min="2591" max="2591" width="17.109375" style="1" customWidth="1"/>
    <col min="2592" max="2592" width="30.44140625" style="1" customWidth="1"/>
    <col min="2593" max="2593" width="33" style="1" customWidth="1"/>
    <col min="2594" max="2596" width="9.6640625" style="1" customWidth="1"/>
    <col min="2597" max="2804" width="11.44140625" style="1"/>
    <col min="2805" max="2809" width="24.44140625" style="1" customWidth="1"/>
    <col min="2810" max="2810" width="14" style="1" customWidth="1"/>
    <col min="2811" max="2811" width="12" style="1" bestFit="1" customWidth="1"/>
    <col min="2812" max="2815" width="9.109375" style="1" customWidth="1"/>
    <col min="2816" max="2816" width="16.109375" style="1" customWidth="1"/>
    <col min="2817" max="2818" width="9.109375" style="1" customWidth="1"/>
    <col min="2819" max="2821" width="16" style="1" customWidth="1"/>
    <col min="2822" max="2822" width="16.109375" style="1" customWidth="1"/>
    <col min="2823" max="2824" width="9.109375" style="1" customWidth="1"/>
    <col min="2825" max="2827" width="15.44140625" style="1" customWidth="1"/>
    <col min="2828" max="2828" width="16.109375" style="1" customWidth="1"/>
    <col min="2829" max="2829" width="17.109375" style="1" customWidth="1"/>
    <col min="2830" max="2830" width="19.6640625" style="1" customWidth="1"/>
    <col min="2831" max="2831" width="22.33203125" style="1" customWidth="1"/>
    <col min="2832" max="2832" width="23.33203125" style="1" customWidth="1"/>
    <col min="2833" max="2833" width="9.109375" style="1" customWidth="1"/>
    <col min="2834" max="2834" width="17.109375" style="1" customWidth="1"/>
    <col min="2835" max="2835" width="11.6640625" style="1" customWidth="1"/>
    <col min="2836" max="2836" width="22.44140625" style="1" customWidth="1"/>
    <col min="2837" max="2837" width="25" style="1" customWidth="1"/>
    <col min="2838" max="2838" width="25.88671875" style="1" customWidth="1"/>
    <col min="2839" max="2839" width="24.33203125" style="1" customWidth="1"/>
    <col min="2840" max="2840" width="26.88671875" style="1" customWidth="1"/>
    <col min="2841" max="2841" width="9.109375" style="1" customWidth="1"/>
    <col min="2842" max="2842" width="29.44140625" style="1" customWidth="1"/>
    <col min="2843" max="2843" width="17.109375" style="1" customWidth="1"/>
    <col min="2844" max="2844" width="9.109375" style="1" customWidth="1"/>
    <col min="2845" max="2845" width="26.88671875" style="1" customWidth="1"/>
    <col min="2846" max="2846" width="9.109375" style="1" customWidth="1"/>
    <col min="2847" max="2847" width="17.109375" style="1" customWidth="1"/>
    <col min="2848" max="2848" width="30.44140625" style="1" customWidth="1"/>
    <col min="2849" max="2849" width="33" style="1" customWidth="1"/>
    <col min="2850" max="2852" width="9.6640625" style="1" customWidth="1"/>
    <col min="2853" max="3060" width="11.44140625" style="1"/>
    <col min="3061" max="3065" width="24.44140625" style="1" customWidth="1"/>
    <col min="3066" max="3066" width="14" style="1" customWidth="1"/>
    <col min="3067" max="3067" width="12" style="1" bestFit="1" customWidth="1"/>
    <col min="3068" max="3071" width="9.109375" style="1" customWidth="1"/>
    <col min="3072" max="3072" width="16.109375" style="1" customWidth="1"/>
    <col min="3073" max="3074" width="9.109375" style="1" customWidth="1"/>
    <col min="3075" max="3077" width="16" style="1" customWidth="1"/>
    <col min="3078" max="3078" width="16.109375" style="1" customWidth="1"/>
    <col min="3079" max="3080" width="9.109375" style="1" customWidth="1"/>
    <col min="3081" max="3083" width="15.44140625" style="1" customWidth="1"/>
    <col min="3084" max="3084" width="16.109375" style="1" customWidth="1"/>
    <col min="3085" max="3085" width="17.109375" style="1" customWidth="1"/>
    <col min="3086" max="3086" width="19.6640625" style="1" customWidth="1"/>
    <col min="3087" max="3087" width="22.33203125" style="1" customWidth="1"/>
    <col min="3088" max="3088" width="23.33203125" style="1" customWidth="1"/>
    <col min="3089" max="3089" width="9.109375" style="1" customWidth="1"/>
    <col min="3090" max="3090" width="17.109375" style="1" customWidth="1"/>
    <col min="3091" max="3091" width="11.6640625" style="1" customWidth="1"/>
    <col min="3092" max="3092" width="22.44140625" style="1" customWidth="1"/>
    <col min="3093" max="3093" width="25" style="1" customWidth="1"/>
    <col min="3094" max="3094" width="25.88671875" style="1" customWidth="1"/>
    <col min="3095" max="3095" width="24.33203125" style="1" customWidth="1"/>
    <col min="3096" max="3096" width="26.88671875" style="1" customWidth="1"/>
    <col min="3097" max="3097" width="9.109375" style="1" customWidth="1"/>
    <col min="3098" max="3098" width="29.44140625" style="1" customWidth="1"/>
    <col min="3099" max="3099" width="17.109375" style="1" customWidth="1"/>
    <col min="3100" max="3100" width="9.109375" style="1" customWidth="1"/>
    <col min="3101" max="3101" width="26.88671875" style="1" customWidth="1"/>
    <col min="3102" max="3102" width="9.109375" style="1" customWidth="1"/>
    <col min="3103" max="3103" width="17.109375" style="1" customWidth="1"/>
    <col min="3104" max="3104" width="30.44140625" style="1" customWidth="1"/>
    <col min="3105" max="3105" width="33" style="1" customWidth="1"/>
    <col min="3106" max="3108" width="9.6640625" style="1" customWidth="1"/>
    <col min="3109" max="3316" width="11.44140625" style="1"/>
    <col min="3317" max="3321" width="24.44140625" style="1" customWidth="1"/>
    <col min="3322" max="3322" width="14" style="1" customWidth="1"/>
    <col min="3323" max="3323" width="12" style="1" bestFit="1" customWidth="1"/>
    <col min="3324" max="3327" width="9.109375" style="1" customWidth="1"/>
    <col min="3328" max="3328" width="16.109375" style="1" customWidth="1"/>
    <col min="3329" max="3330" width="9.109375" style="1" customWidth="1"/>
    <col min="3331" max="3333" width="16" style="1" customWidth="1"/>
    <col min="3334" max="3334" width="16.109375" style="1" customWidth="1"/>
    <col min="3335" max="3336" width="9.109375" style="1" customWidth="1"/>
    <col min="3337" max="3339" width="15.44140625" style="1" customWidth="1"/>
    <col min="3340" max="3340" width="16.109375" style="1" customWidth="1"/>
    <col min="3341" max="3341" width="17.109375" style="1" customWidth="1"/>
    <col min="3342" max="3342" width="19.6640625" style="1" customWidth="1"/>
    <col min="3343" max="3343" width="22.33203125" style="1" customWidth="1"/>
    <col min="3344" max="3344" width="23.33203125" style="1" customWidth="1"/>
    <col min="3345" max="3345" width="9.109375" style="1" customWidth="1"/>
    <col min="3346" max="3346" width="17.109375" style="1" customWidth="1"/>
    <col min="3347" max="3347" width="11.6640625" style="1" customWidth="1"/>
    <col min="3348" max="3348" width="22.44140625" style="1" customWidth="1"/>
    <col min="3349" max="3349" width="25" style="1" customWidth="1"/>
    <col min="3350" max="3350" width="25.88671875" style="1" customWidth="1"/>
    <col min="3351" max="3351" width="24.33203125" style="1" customWidth="1"/>
    <col min="3352" max="3352" width="26.88671875" style="1" customWidth="1"/>
    <col min="3353" max="3353" width="9.109375" style="1" customWidth="1"/>
    <col min="3354" max="3354" width="29.44140625" style="1" customWidth="1"/>
    <col min="3355" max="3355" width="17.109375" style="1" customWidth="1"/>
    <col min="3356" max="3356" width="9.109375" style="1" customWidth="1"/>
    <col min="3357" max="3357" width="26.88671875" style="1" customWidth="1"/>
    <col min="3358" max="3358" width="9.109375" style="1" customWidth="1"/>
    <col min="3359" max="3359" width="17.109375" style="1" customWidth="1"/>
    <col min="3360" max="3360" width="30.44140625" style="1" customWidth="1"/>
    <col min="3361" max="3361" width="33" style="1" customWidth="1"/>
    <col min="3362" max="3364" width="9.6640625" style="1" customWidth="1"/>
    <col min="3365" max="3572" width="11.44140625" style="1"/>
    <col min="3573" max="3577" width="24.44140625" style="1" customWidth="1"/>
    <col min="3578" max="3578" width="14" style="1" customWidth="1"/>
    <col min="3579" max="3579" width="12" style="1" bestFit="1" customWidth="1"/>
    <col min="3580" max="3583" width="9.109375" style="1" customWidth="1"/>
    <col min="3584" max="3584" width="16.109375" style="1" customWidth="1"/>
    <col min="3585" max="3586" width="9.109375" style="1" customWidth="1"/>
    <col min="3587" max="3589" width="16" style="1" customWidth="1"/>
    <col min="3590" max="3590" width="16.109375" style="1" customWidth="1"/>
    <col min="3591" max="3592" width="9.109375" style="1" customWidth="1"/>
    <col min="3593" max="3595" width="15.44140625" style="1" customWidth="1"/>
    <col min="3596" max="3596" width="16.109375" style="1" customWidth="1"/>
    <col min="3597" max="3597" width="17.109375" style="1" customWidth="1"/>
    <col min="3598" max="3598" width="19.6640625" style="1" customWidth="1"/>
    <col min="3599" max="3599" width="22.33203125" style="1" customWidth="1"/>
    <col min="3600" max="3600" width="23.33203125" style="1" customWidth="1"/>
    <col min="3601" max="3601" width="9.109375" style="1" customWidth="1"/>
    <col min="3602" max="3602" width="17.109375" style="1" customWidth="1"/>
    <col min="3603" max="3603" width="11.6640625" style="1" customWidth="1"/>
    <col min="3604" max="3604" width="22.44140625" style="1" customWidth="1"/>
    <col min="3605" max="3605" width="25" style="1" customWidth="1"/>
    <col min="3606" max="3606" width="25.88671875" style="1" customWidth="1"/>
    <col min="3607" max="3607" width="24.33203125" style="1" customWidth="1"/>
    <col min="3608" max="3608" width="26.88671875" style="1" customWidth="1"/>
    <col min="3609" max="3609" width="9.109375" style="1" customWidth="1"/>
    <col min="3610" max="3610" width="29.44140625" style="1" customWidth="1"/>
    <col min="3611" max="3611" width="17.109375" style="1" customWidth="1"/>
    <col min="3612" max="3612" width="9.109375" style="1" customWidth="1"/>
    <col min="3613" max="3613" width="26.88671875" style="1" customWidth="1"/>
    <col min="3614" max="3614" width="9.109375" style="1" customWidth="1"/>
    <col min="3615" max="3615" width="17.109375" style="1" customWidth="1"/>
    <col min="3616" max="3616" width="30.44140625" style="1" customWidth="1"/>
    <col min="3617" max="3617" width="33" style="1" customWidth="1"/>
    <col min="3618" max="3620" width="9.6640625" style="1" customWidth="1"/>
    <col min="3621" max="3828" width="11.44140625" style="1"/>
    <col min="3829" max="3833" width="24.44140625" style="1" customWidth="1"/>
    <col min="3834" max="3834" width="14" style="1" customWidth="1"/>
    <col min="3835" max="3835" width="12" style="1" bestFit="1" customWidth="1"/>
    <col min="3836" max="3839" width="9.109375" style="1" customWidth="1"/>
    <col min="3840" max="3840" width="16.109375" style="1" customWidth="1"/>
    <col min="3841" max="3842" width="9.109375" style="1" customWidth="1"/>
    <col min="3843" max="3845" width="16" style="1" customWidth="1"/>
    <col min="3846" max="3846" width="16.109375" style="1" customWidth="1"/>
    <col min="3847" max="3848" width="9.109375" style="1" customWidth="1"/>
    <col min="3849" max="3851" width="15.44140625" style="1" customWidth="1"/>
    <col min="3852" max="3852" width="16.109375" style="1" customWidth="1"/>
    <col min="3853" max="3853" width="17.109375" style="1" customWidth="1"/>
    <col min="3854" max="3854" width="19.6640625" style="1" customWidth="1"/>
    <col min="3855" max="3855" width="22.33203125" style="1" customWidth="1"/>
    <col min="3856" max="3856" width="23.33203125" style="1" customWidth="1"/>
    <col min="3857" max="3857" width="9.109375" style="1" customWidth="1"/>
    <col min="3858" max="3858" width="17.109375" style="1" customWidth="1"/>
    <col min="3859" max="3859" width="11.6640625" style="1" customWidth="1"/>
    <col min="3860" max="3860" width="22.44140625" style="1" customWidth="1"/>
    <col min="3861" max="3861" width="25" style="1" customWidth="1"/>
    <col min="3862" max="3862" width="25.88671875" style="1" customWidth="1"/>
    <col min="3863" max="3863" width="24.33203125" style="1" customWidth="1"/>
    <col min="3864" max="3864" width="26.88671875" style="1" customWidth="1"/>
    <col min="3865" max="3865" width="9.109375" style="1" customWidth="1"/>
    <col min="3866" max="3866" width="29.44140625" style="1" customWidth="1"/>
    <col min="3867" max="3867" width="17.109375" style="1" customWidth="1"/>
    <col min="3868" max="3868" width="9.109375" style="1" customWidth="1"/>
    <col min="3869" max="3869" width="26.88671875" style="1" customWidth="1"/>
    <col min="3870" max="3870" width="9.109375" style="1" customWidth="1"/>
    <col min="3871" max="3871" width="17.109375" style="1" customWidth="1"/>
    <col min="3872" max="3872" width="30.44140625" style="1" customWidth="1"/>
    <col min="3873" max="3873" width="33" style="1" customWidth="1"/>
    <col min="3874" max="3876" width="9.6640625" style="1" customWidth="1"/>
    <col min="3877" max="4084" width="11.44140625" style="1"/>
    <col min="4085" max="4089" width="24.44140625" style="1" customWidth="1"/>
    <col min="4090" max="4090" width="14" style="1" customWidth="1"/>
    <col min="4091" max="4091" width="12" style="1" bestFit="1" customWidth="1"/>
    <col min="4092" max="4095" width="9.109375" style="1" customWidth="1"/>
    <col min="4096" max="4096" width="16.109375" style="1" customWidth="1"/>
    <col min="4097" max="4098" width="9.109375" style="1" customWidth="1"/>
    <col min="4099" max="4101" width="16" style="1" customWidth="1"/>
    <col min="4102" max="4102" width="16.109375" style="1" customWidth="1"/>
    <col min="4103" max="4104" width="9.109375" style="1" customWidth="1"/>
    <col min="4105" max="4107" width="15.44140625" style="1" customWidth="1"/>
    <col min="4108" max="4108" width="16.109375" style="1" customWidth="1"/>
    <col min="4109" max="4109" width="17.109375" style="1" customWidth="1"/>
    <col min="4110" max="4110" width="19.6640625" style="1" customWidth="1"/>
    <col min="4111" max="4111" width="22.33203125" style="1" customWidth="1"/>
    <col min="4112" max="4112" width="23.33203125" style="1" customWidth="1"/>
    <col min="4113" max="4113" width="9.109375" style="1" customWidth="1"/>
    <col min="4114" max="4114" width="17.109375" style="1" customWidth="1"/>
    <col min="4115" max="4115" width="11.6640625" style="1" customWidth="1"/>
    <col min="4116" max="4116" width="22.44140625" style="1" customWidth="1"/>
    <col min="4117" max="4117" width="25" style="1" customWidth="1"/>
    <col min="4118" max="4118" width="25.88671875" style="1" customWidth="1"/>
    <col min="4119" max="4119" width="24.33203125" style="1" customWidth="1"/>
    <col min="4120" max="4120" width="26.88671875" style="1" customWidth="1"/>
    <col min="4121" max="4121" width="9.109375" style="1" customWidth="1"/>
    <col min="4122" max="4122" width="29.44140625" style="1" customWidth="1"/>
    <col min="4123" max="4123" width="17.109375" style="1" customWidth="1"/>
    <col min="4124" max="4124" width="9.109375" style="1" customWidth="1"/>
    <col min="4125" max="4125" width="26.88671875" style="1" customWidth="1"/>
    <col min="4126" max="4126" width="9.109375" style="1" customWidth="1"/>
    <col min="4127" max="4127" width="17.109375" style="1" customWidth="1"/>
    <col min="4128" max="4128" width="30.44140625" style="1" customWidth="1"/>
    <col min="4129" max="4129" width="33" style="1" customWidth="1"/>
    <col min="4130" max="4132" width="9.6640625" style="1" customWidth="1"/>
    <col min="4133" max="4340" width="11.44140625" style="1"/>
    <col min="4341" max="4345" width="24.44140625" style="1" customWidth="1"/>
    <col min="4346" max="4346" width="14" style="1" customWidth="1"/>
    <col min="4347" max="4347" width="12" style="1" bestFit="1" customWidth="1"/>
    <col min="4348" max="4351" width="9.109375" style="1" customWidth="1"/>
    <col min="4352" max="4352" width="16.109375" style="1" customWidth="1"/>
    <col min="4353" max="4354" width="9.109375" style="1" customWidth="1"/>
    <col min="4355" max="4357" width="16" style="1" customWidth="1"/>
    <col min="4358" max="4358" width="16.109375" style="1" customWidth="1"/>
    <col min="4359" max="4360" width="9.109375" style="1" customWidth="1"/>
    <col min="4361" max="4363" width="15.44140625" style="1" customWidth="1"/>
    <col min="4364" max="4364" width="16.109375" style="1" customWidth="1"/>
    <col min="4365" max="4365" width="17.109375" style="1" customWidth="1"/>
    <col min="4366" max="4366" width="19.6640625" style="1" customWidth="1"/>
    <col min="4367" max="4367" width="22.33203125" style="1" customWidth="1"/>
    <col min="4368" max="4368" width="23.33203125" style="1" customWidth="1"/>
    <col min="4369" max="4369" width="9.109375" style="1" customWidth="1"/>
    <col min="4370" max="4370" width="17.109375" style="1" customWidth="1"/>
    <col min="4371" max="4371" width="11.6640625" style="1" customWidth="1"/>
    <col min="4372" max="4372" width="22.44140625" style="1" customWidth="1"/>
    <col min="4373" max="4373" width="25" style="1" customWidth="1"/>
    <col min="4374" max="4374" width="25.88671875" style="1" customWidth="1"/>
    <col min="4375" max="4375" width="24.33203125" style="1" customWidth="1"/>
    <col min="4376" max="4376" width="26.88671875" style="1" customWidth="1"/>
    <col min="4377" max="4377" width="9.109375" style="1" customWidth="1"/>
    <col min="4378" max="4378" width="29.44140625" style="1" customWidth="1"/>
    <col min="4379" max="4379" width="17.109375" style="1" customWidth="1"/>
    <col min="4380" max="4380" width="9.109375" style="1" customWidth="1"/>
    <col min="4381" max="4381" width="26.88671875" style="1" customWidth="1"/>
    <col min="4382" max="4382" width="9.109375" style="1" customWidth="1"/>
    <col min="4383" max="4383" width="17.109375" style="1" customWidth="1"/>
    <col min="4384" max="4384" width="30.44140625" style="1" customWidth="1"/>
    <col min="4385" max="4385" width="33" style="1" customWidth="1"/>
    <col min="4386" max="4388" width="9.6640625" style="1" customWidth="1"/>
    <col min="4389" max="4596" width="11.44140625" style="1"/>
    <col min="4597" max="4601" width="24.44140625" style="1" customWidth="1"/>
    <col min="4602" max="4602" width="14" style="1" customWidth="1"/>
    <col min="4603" max="4603" width="12" style="1" bestFit="1" customWidth="1"/>
    <col min="4604" max="4607" width="9.109375" style="1" customWidth="1"/>
    <col min="4608" max="4608" width="16.109375" style="1" customWidth="1"/>
    <col min="4609" max="4610" width="9.109375" style="1" customWidth="1"/>
    <col min="4611" max="4613" width="16" style="1" customWidth="1"/>
    <col min="4614" max="4614" width="16.109375" style="1" customWidth="1"/>
    <col min="4615" max="4616" width="9.109375" style="1" customWidth="1"/>
    <col min="4617" max="4619" width="15.44140625" style="1" customWidth="1"/>
    <col min="4620" max="4620" width="16.109375" style="1" customWidth="1"/>
    <col min="4621" max="4621" width="17.109375" style="1" customWidth="1"/>
    <col min="4622" max="4622" width="19.6640625" style="1" customWidth="1"/>
    <col min="4623" max="4623" width="22.33203125" style="1" customWidth="1"/>
    <col min="4624" max="4624" width="23.33203125" style="1" customWidth="1"/>
    <col min="4625" max="4625" width="9.109375" style="1" customWidth="1"/>
    <col min="4626" max="4626" width="17.109375" style="1" customWidth="1"/>
    <col min="4627" max="4627" width="11.6640625" style="1" customWidth="1"/>
    <col min="4628" max="4628" width="22.44140625" style="1" customWidth="1"/>
    <col min="4629" max="4629" width="25" style="1" customWidth="1"/>
    <col min="4630" max="4630" width="25.88671875" style="1" customWidth="1"/>
    <col min="4631" max="4631" width="24.33203125" style="1" customWidth="1"/>
    <col min="4632" max="4632" width="26.88671875" style="1" customWidth="1"/>
    <col min="4633" max="4633" width="9.109375" style="1" customWidth="1"/>
    <col min="4634" max="4634" width="29.44140625" style="1" customWidth="1"/>
    <col min="4635" max="4635" width="17.109375" style="1" customWidth="1"/>
    <col min="4636" max="4636" width="9.109375" style="1" customWidth="1"/>
    <col min="4637" max="4637" width="26.88671875" style="1" customWidth="1"/>
    <col min="4638" max="4638" width="9.109375" style="1" customWidth="1"/>
    <col min="4639" max="4639" width="17.109375" style="1" customWidth="1"/>
    <col min="4640" max="4640" width="30.44140625" style="1" customWidth="1"/>
    <col min="4641" max="4641" width="33" style="1" customWidth="1"/>
    <col min="4642" max="4644" width="9.6640625" style="1" customWidth="1"/>
    <col min="4645" max="4852" width="11.44140625" style="1"/>
    <col min="4853" max="4857" width="24.44140625" style="1" customWidth="1"/>
    <col min="4858" max="4858" width="14" style="1" customWidth="1"/>
    <col min="4859" max="4859" width="12" style="1" bestFit="1" customWidth="1"/>
    <col min="4860" max="4863" width="9.109375" style="1" customWidth="1"/>
    <col min="4864" max="4864" width="16.109375" style="1" customWidth="1"/>
    <col min="4865" max="4866" width="9.109375" style="1" customWidth="1"/>
    <col min="4867" max="4869" width="16" style="1" customWidth="1"/>
    <col min="4870" max="4870" width="16.109375" style="1" customWidth="1"/>
    <col min="4871" max="4872" width="9.109375" style="1" customWidth="1"/>
    <col min="4873" max="4875" width="15.44140625" style="1" customWidth="1"/>
    <col min="4876" max="4876" width="16.109375" style="1" customWidth="1"/>
    <col min="4877" max="4877" width="17.109375" style="1" customWidth="1"/>
    <col min="4878" max="4878" width="19.6640625" style="1" customWidth="1"/>
    <col min="4879" max="4879" width="22.33203125" style="1" customWidth="1"/>
    <col min="4880" max="4880" width="23.33203125" style="1" customWidth="1"/>
    <col min="4881" max="4881" width="9.109375" style="1" customWidth="1"/>
    <col min="4882" max="4882" width="17.109375" style="1" customWidth="1"/>
    <col min="4883" max="4883" width="11.6640625" style="1" customWidth="1"/>
    <col min="4884" max="4884" width="22.44140625" style="1" customWidth="1"/>
    <col min="4885" max="4885" width="25" style="1" customWidth="1"/>
    <col min="4886" max="4886" width="25.88671875" style="1" customWidth="1"/>
    <col min="4887" max="4887" width="24.33203125" style="1" customWidth="1"/>
    <col min="4888" max="4888" width="26.88671875" style="1" customWidth="1"/>
    <col min="4889" max="4889" width="9.109375" style="1" customWidth="1"/>
    <col min="4890" max="4890" width="29.44140625" style="1" customWidth="1"/>
    <col min="4891" max="4891" width="17.109375" style="1" customWidth="1"/>
    <col min="4892" max="4892" width="9.109375" style="1" customWidth="1"/>
    <col min="4893" max="4893" width="26.88671875" style="1" customWidth="1"/>
    <col min="4894" max="4894" width="9.109375" style="1" customWidth="1"/>
    <col min="4895" max="4895" width="17.109375" style="1" customWidth="1"/>
    <col min="4896" max="4896" width="30.44140625" style="1" customWidth="1"/>
    <col min="4897" max="4897" width="33" style="1" customWidth="1"/>
    <col min="4898" max="4900" width="9.6640625" style="1" customWidth="1"/>
    <col min="4901" max="5108" width="11.44140625" style="1"/>
    <col min="5109" max="5113" width="24.44140625" style="1" customWidth="1"/>
    <col min="5114" max="5114" width="14" style="1" customWidth="1"/>
    <col min="5115" max="5115" width="12" style="1" bestFit="1" customWidth="1"/>
    <col min="5116" max="5119" width="9.109375" style="1" customWidth="1"/>
    <col min="5120" max="5120" width="16.109375" style="1" customWidth="1"/>
    <col min="5121" max="5122" width="9.109375" style="1" customWidth="1"/>
    <col min="5123" max="5125" width="16" style="1" customWidth="1"/>
    <col min="5126" max="5126" width="16.109375" style="1" customWidth="1"/>
    <col min="5127" max="5128" width="9.109375" style="1" customWidth="1"/>
    <col min="5129" max="5131" width="15.44140625" style="1" customWidth="1"/>
    <col min="5132" max="5132" width="16.109375" style="1" customWidth="1"/>
    <col min="5133" max="5133" width="17.109375" style="1" customWidth="1"/>
    <col min="5134" max="5134" width="19.6640625" style="1" customWidth="1"/>
    <col min="5135" max="5135" width="22.33203125" style="1" customWidth="1"/>
    <col min="5136" max="5136" width="23.33203125" style="1" customWidth="1"/>
    <col min="5137" max="5137" width="9.109375" style="1" customWidth="1"/>
    <col min="5138" max="5138" width="17.109375" style="1" customWidth="1"/>
    <col min="5139" max="5139" width="11.6640625" style="1" customWidth="1"/>
    <col min="5140" max="5140" width="22.44140625" style="1" customWidth="1"/>
    <col min="5141" max="5141" width="25" style="1" customWidth="1"/>
    <col min="5142" max="5142" width="25.88671875" style="1" customWidth="1"/>
    <col min="5143" max="5143" width="24.33203125" style="1" customWidth="1"/>
    <col min="5144" max="5144" width="26.88671875" style="1" customWidth="1"/>
    <col min="5145" max="5145" width="9.109375" style="1" customWidth="1"/>
    <col min="5146" max="5146" width="29.44140625" style="1" customWidth="1"/>
    <col min="5147" max="5147" width="17.109375" style="1" customWidth="1"/>
    <col min="5148" max="5148" width="9.109375" style="1" customWidth="1"/>
    <col min="5149" max="5149" width="26.88671875" style="1" customWidth="1"/>
    <col min="5150" max="5150" width="9.109375" style="1" customWidth="1"/>
    <col min="5151" max="5151" width="17.109375" style="1" customWidth="1"/>
    <col min="5152" max="5152" width="30.44140625" style="1" customWidth="1"/>
    <col min="5153" max="5153" width="33" style="1" customWidth="1"/>
    <col min="5154" max="5156" width="9.6640625" style="1" customWidth="1"/>
    <col min="5157" max="5364" width="11.44140625" style="1"/>
    <col min="5365" max="5369" width="24.44140625" style="1" customWidth="1"/>
    <col min="5370" max="5370" width="14" style="1" customWidth="1"/>
    <col min="5371" max="5371" width="12" style="1" bestFit="1" customWidth="1"/>
    <col min="5372" max="5375" width="9.109375" style="1" customWidth="1"/>
    <col min="5376" max="5376" width="16.109375" style="1" customWidth="1"/>
    <col min="5377" max="5378" width="9.109375" style="1" customWidth="1"/>
    <col min="5379" max="5381" width="16" style="1" customWidth="1"/>
    <col min="5382" max="5382" width="16.109375" style="1" customWidth="1"/>
    <col min="5383" max="5384" width="9.109375" style="1" customWidth="1"/>
    <col min="5385" max="5387" width="15.44140625" style="1" customWidth="1"/>
    <col min="5388" max="5388" width="16.109375" style="1" customWidth="1"/>
    <col min="5389" max="5389" width="17.109375" style="1" customWidth="1"/>
    <col min="5390" max="5390" width="19.6640625" style="1" customWidth="1"/>
    <col min="5391" max="5391" width="22.33203125" style="1" customWidth="1"/>
    <col min="5392" max="5392" width="23.33203125" style="1" customWidth="1"/>
    <col min="5393" max="5393" width="9.109375" style="1" customWidth="1"/>
    <col min="5394" max="5394" width="17.109375" style="1" customWidth="1"/>
    <col min="5395" max="5395" width="11.6640625" style="1" customWidth="1"/>
    <col min="5396" max="5396" width="22.44140625" style="1" customWidth="1"/>
    <col min="5397" max="5397" width="25" style="1" customWidth="1"/>
    <col min="5398" max="5398" width="25.88671875" style="1" customWidth="1"/>
    <col min="5399" max="5399" width="24.33203125" style="1" customWidth="1"/>
    <col min="5400" max="5400" width="26.88671875" style="1" customWidth="1"/>
    <col min="5401" max="5401" width="9.109375" style="1" customWidth="1"/>
    <col min="5402" max="5402" width="29.44140625" style="1" customWidth="1"/>
    <col min="5403" max="5403" width="17.109375" style="1" customWidth="1"/>
    <col min="5404" max="5404" width="9.109375" style="1" customWidth="1"/>
    <col min="5405" max="5405" width="26.88671875" style="1" customWidth="1"/>
    <col min="5406" max="5406" width="9.109375" style="1" customWidth="1"/>
    <col min="5407" max="5407" width="17.109375" style="1" customWidth="1"/>
    <col min="5408" max="5408" width="30.44140625" style="1" customWidth="1"/>
    <col min="5409" max="5409" width="33" style="1" customWidth="1"/>
    <col min="5410" max="5412" width="9.6640625" style="1" customWidth="1"/>
    <col min="5413" max="5620" width="11.44140625" style="1"/>
    <col min="5621" max="5625" width="24.44140625" style="1" customWidth="1"/>
    <col min="5626" max="5626" width="14" style="1" customWidth="1"/>
    <col min="5627" max="5627" width="12" style="1" bestFit="1" customWidth="1"/>
    <col min="5628" max="5631" width="9.109375" style="1" customWidth="1"/>
    <col min="5632" max="5632" width="16.109375" style="1" customWidth="1"/>
    <col min="5633" max="5634" width="9.109375" style="1" customWidth="1"/>
    <col min="5635" max="5637" width="16" style="1" customWidth="1"/>
    <col min="5638" max="5638" width="16.109375" style="1" customWidth="1"/>
    <col min="5639" max="5640" width="9.109375" style="1" customWidth="1"/>
    <col min="5641" max="5643" width="15.44140625" style="1" customWidth="1"/>
    <col min="5644" max="5644" width="16.109375" style="1" customWidth="1"/>
    <col min="5645" max="5645" width="17.109375" style="1" customWidth="1"/>
    <col min="5646" max="5646" width="19.6640625" style="1" customWidth="1"/>
    <col min="5647" max="5647" width="22.33203125" style="1" customWidth="1"/>
    <col min="5648" max="5648" width="23.33203125" style="1" customWidth="1"/>
    <col min="5649" max="5649" width="9.109375" style="1" customWidth="1"/>
    <col min="5650" max="5650" width="17.109375" style="1" customWidth="1"/>
    <col min="5651" max="5651" width="11.6640625" style="1" customWidth="1"/>
    <col min="5652" max="5652" width="22.44140625" style="1" customWidth="1"/>
    <col min="5653" max="5653" width="25" style="1" customWidth="1"/>
    <col min="5654" max="5654" width="25.88671875" style="1" customWidth="1"/>
    <col min="5655" max="5655" width="24.33203125" style="1" customWidth="1"/>
    <col min="5656" max="5656" width="26.88671875" style="1" customWidth="1"/>
    <col min="5657" max="5657" width="9.109375" style="1" customWidth="1"/>
    <col min="5658" max="5658" width="29.44140625" style="1" customWidth="1"/>
    <col min="5659" max="5659" width="17.109375" style="1" customWidth="1"/>
    <col min="5660" max="5660" width="9.109375" style="1" customWidth="1"/>
    <col min="5661" max="5661" width="26.88671875" style="1" customWidth="1"/>
    <col min="5662" max="5662" width="9.109375" style="1" customWidth="1"/>
    <col min="5663" max="5663" width="17.109375" style="1" customWidth="1"/>
    <col min="5664" max="5664" width="30.44140625" style="1" customWidth="1"/>
    <col min="5665" max="5665" width="33" style="1" customWidth="1"/>
    <col min="5666" max="5668" width="9.6640625" style="1" customWidth="1"/>
    <col min="5669" max="5876" width="11.44140625" style="1"/>
    <col min="5877" max="5881" width="24.44140625" style="1" customWidth="1"/>
    <col min="5882" max="5882" width="14" style="1" customWidth="1"/>
    <col min="5883" max="5883" width="12" style="1" bestFit="1" customWidth="1"/>
    <col min="5884" max="5887" width="9.109375" style="1" customWidth="1"/>
    <col min="5888" max="5888" width="16.109375" style="1" customWidth="1"/>
    <col min="5889" max="5890" width="9.109375" style="1" customWidth="1"/>
    <col min="5891" max="5893" width="16" style="1" customWidth="1"/>
    <col min="5894" max="5894" width="16.109375" style="1" customWidth="1"/>
    <col min="5895" max="5896" width="9.109375" style="1" customWidth="1"/>
    <col min="5897" max="5899" width="15.44140625" style="1" customWidth="1"/>
    <col min="5900" max="5900" width="16.109375" style="1" customWidth="1"/>
    <col min="5901" max="5901" width="17.109375" style="1" customWidth="1"/>
    <col min="5902" max="5902" width="19.6640625" style="1" customWidth="1"/>
    <col min="5903" max="5903" width="22.33203125" style="1" customWidth="1"/>
    <col min="5904" max="5904" width="23.33203125" style="1" customWidth="1"/>
    <col min="5905" max="5905" width="9.109375" style="1" customWidth="1"/>
    <col min="5906" max="5906" width="17.109375" style="1" customWidth="1"/>
    <col min="5907" max="5907" width="11.6640625" style="1" customWidth="1"/>
    <col min="5908" max="5908" width="22.44140625" style="1" customWidth="1"/>
    <col min="5909" max="5909" width="25" style="1" customWidth="1"/>
    <col min="5910" max="5910" width="25.88671875" style="1" customWidth="1"/>
    <col min="5911" max="5911" width="24.33203125" style="1" customWidth="1"/>
    <col min="5912" max="5912" width="26.88671875" style="1" customWidth="1"/>
    <col min="5913" max="5913" width="9.109375" style="1" customWidth="1"/>
    <col min="5914" max="5914" width="29.44140625" style="1" customWidth="1"/>
    <col min="5915" max="5915" width="17.109375" style="1" customWidth="1"/>
    <col min="5916" max="5916" width="9.109375" style="1" customWidth="1"/>
    <col min="5917" max="5917" width="26.88671875" style="1" customWidth="1"/>
    <col min="5918" max="5918" width="9.109375" style="1" customWidth="1"/>
    <col min="5919" max="5919" width="17.109375" style="1" customWidth="1"/>
    <col min="5920" max="5920" width="30.44140625" style="1" customWidth="1"/>
    <col min="5921" max="5921" width="33" style="1" customWidth="1"/>
    <col min="5922" max="5924" width="9.6640625" style="1" customWidth="1"/>
    <col min="5925" max="6132" width="11.44140625" style="1"/>
    <col min="6133" max="6137" width="24.44140625" style="1" customWidth="1"/>
    <col min="6138" max="6138" width="14" style="1" customWidth="1"/>
    <col min="6139" max="6139" width="12" style="1" bestFit="1" customWidth="1"/>
    <col min="6140" max="6143" width="9.109375" style="1" customWidth="1"/>
    <col min="6144" max="6144" width="16.109375" style="1" customWidth="1"/>
    <col min="6145" max="6146" width="9.109375" style="1" customWidth="1"/>
    <col min="6147" max="6149" width="16" style="1" customWidth="1"/>
    <col min="6150" max="6150" width="16.109375" style="1" customWidth="1"/>
    <col min="6151" max="6152" width="9.109375" style="1" customWidth="1"/>
    <col min="6153" max="6155" width="15.44140625" style="1" customWidth="1"/>
    <col min="6156" max="6156" width="16.109375" style="1" customWidth="1"/>
    <col min="6157" max="6157" width="17.109375" style="1" customWidth="1"/>
    <col min="6158" max="6158" width="19.6640625" style="1" customWidth="1"/>
    <col min="6159" max="6159" width="22.33203125" style="1" customWidth="1"/>
    <col min="6160" max="6160" width="23.33203125" style="1" customWidth="1"/>
    <col min="6161" max="6161" width="9.109375" style="1" customWidth="1"/>
    <col min="6162" max="6162" width="17.109375" style="1" customWidth="1"/>
    <col min="6163" max="6163" width="11.6640625" style="1" customWidth="1"/>
    <col min="6164" max="6164" width="22.44140625" style="1" customWidth="1"/>
    <col min="6165" max="6165" width="25" style="1" customWidth="1"/>
    <col min="6166" max="6166" width="25.88671875" style="1" customWidth="1"/>
    <col min="6167" max="6167" width="24.33203125" style="1" customWidth="1"/>
    <col min="6168" max="6168" width="26.88671875" style="1" customWidth="1"/>
    <col min="6169" max="6169" width="9.109375" style="1" customWidth="1"/>
    <col min="6170" max="6170" width="29.44140625" style="1" customWidth="1"/>
    <col min="6171" max="6171" width="17.109375" style="1" customWidth="1"/>
    <col min="6172" max="6172" width="9.109375" style="1" customWidth="1"/>
    <col min="6173" max="6173" width="26.88671875" style="1" customWidth="1"/>
    <col min="6174" max="6174" width="9.109375" style="1" customWidth="1"/>
    <col min="6175" max="6175" width="17.109375" style="1" customWidth="1"/>
    <col min="6176" max="6176" width="30.44140625" style="1" customWidth="1"/>
    <col min="6177" max="6177" width="33" style="1" customWidth="1"/>
    <col min="6178" max="6180" width="9.6640625" style="1" customWidth="1"/>
    <col min="6181" max="6388" width="11.44140625" style="1"/>
    <col min="6389" max="6393" width="24.44140625" style="1" customWidth="1"/>
    <col min="6394" max="6394" width="14" style="1" customWidth="1"/>
    <col min="6395" max="6395" width="12" style="1" bestFit="1" customWidth="1"/>
    <col min="6396" max="6399" width="9.109375" style="1" customWidth="1"/>
    <col min="6400" max="6400" width="16.109375" style="1" customWidth="1"/>
    <col min="6401" max="6402" width="9.109375" style="1" customWidth="1"/>
    <col min="6403" max="6405" width="16" style="1" customWidth="1"/>
    <col min="6406" max="6406" width="16.109375" style="1" customWidth="1"/>
    <col min="6407" max="6408" width="9.109375" style="1" customWidth="1"/>
    <col min="6409" max="6411" width="15.44140625" style="1" customWidth="1"/>
    <col min="6412" max="6412" width="16.109375" style="1" customWidth="1"/>
    <col min="6413" max="6413" width="17.109375" style="1" customWidth="1"/>
    <col min="6414" max="6414" width="19.6640625" style="1" customWidth="1"/>
    <col min="6415" max="6415" width="22.33203125" style="1" customWidth="1"/>
    <col min="6416" max="6416" width="23.33203125" style="1" customWidth="1"/>
    <col min="6417" max="6417" width="9.109375" style="1" customWidth="1"/>
    <col min="6418" max="6418" width="17.109375" style="1" customWidth="1"/>
    <col min="6419" max="6419" width="11.6640625" style="1" customWidth="1"/>
    <col min="6420" max="6420" width="22.44140625" style="1" customWidth="1"/>
    <col min="6421" max="6421" width="25" style="1" customWidth="1"/>
    <col min="6422" max="6422" width="25.88671875" style="1" customWidth="1"/>
    <col min="6423" max="6423" width="24.33203125" style="1" customWidth="1"/>
    <col min="6424" max="6424" width="26.88671875" style="1" customWidth="1"/>
    <col min="6425" max="6425" width="9.109375" style="1" customWidth="1"/>
    <col min="6426" max="6426" width="29.44140625" style="1" customWidth="1"/>
    <col min="6427" max="6427" width="17.109375" style="1" customWidth="1"/>
    <col min="6428" max="6428" width="9.109375" style="1" customWidth="1"/>
    <col min="6429" max="6429" width="26.88671875" style="1" customWidth="1"/>
    <col min="6430" max="6430" width="9.109375" style="1" customWidth="1"/>
    <col min="6431" max="6431" width="17.109375" style="1" customWidth="1"/>
    <col min="6432" max="6432" width="30.44140625" style="1" customWidth="1"/>
    <col min="6433" max="6433" width="33" style="1" customWidth="1"/>
    <col min="6434" max="6436" width="9.6640625" style="1" customWidth="1"/>
    <col min="6437" max="6644" width="11.44140625" style="1"/>
    <col min="6645" max="6649" width="24.44140625" style="1" customWidth="1"/>
    <col min="6650" max="6650" width="14" style="1" customWidth="1"/>
    <col min="6651" max="6651" width="12" style="1" bestFit="1" customWidth="1"/>
    <col min="6652" max="6655" width="9.109375" style="1" customWidth="1"/>
    <col min="6656" max="6656" width="16.109375" style="1" customWidth="1"/>
    <col min="6657" max="6658" width="9.109375" style="1" customWidth="1"/>
    <col min="6659" max="6661" width="16" style="1" customWidth="1"/>
    <col min="6662" max="6662" width="16.109375" style="1" customWidth="1"/>
    <col min="6663" max="6664" width="9.109375" style="1" customWidth="1"/>
    <col min="6665" max="6667" width="15.44140625" style="1" customWidth="1"/>
    <col min="6668" max="6668" width="16.109375" style="1" customWidth="1"/>
    <col min="6669" max="6669" width="17.109375" style="1" customWidth="1"/>
    <col min="6670" max="6670" width="19.6640625" style="1" customWidth="1"/>
    <col min="6671" max="6671" width="22.33203125" style="1" customWidth="1"/>
    <col min="6672" max="6672" width="23.33203125" style="1" customWidth="1"/>
    <col min="6673" max="6673" width="9.109375" style="1" customWidth="1"/>
    <col min="6674" max="6674" width="17.109375" style="1" customWidth="1"/>
    <col min="6675" max="6675" width="11.6640625" style="1" customWidth="1"/>
    <col min="6676" max="6676" width="22.44140625" style="1" customWidth="1"/>
    <col min="6677" max="6677" width="25" style="1" customWidth="1"/>
    <col min="6678" max="6678" width="25.88671875" style="1" customWidth="1"/>
    <col min="6679" max="6679" width="24.33203125" style="1" customWidth="1"/>
    <col min="6680" max="6680" width="26.88671875" style="1" customWidth="1"/>
    <col min="6681" max="6681" width="9.109375" style="1" customWidth="1"/>
    <col min="6682" max="6682" width="29.44140625" style="1" customWidth="1"/>
    <col min="6683" max="6683" width="17.109375" style="1" customWidth="1"/>
    <col min="6684" max="6684" width="9.109375" style="1" customWidth="1"/>
    <col min="6685" max="6685" width="26.88671875" style="1" customWidth="1"/>
    <col min="6686" max="6686" width="9.109375" style="1" customWidth="1"/>
    <col min="6687" max="6687" width="17.109375" style="1" customWidth="1"/>
    <col min="6688" max="6688" width="30.44140625" style="1" customWidth="1"/>
    <col min="6689" max="6689" width="33" style="1" customWidth="1"/>
    <col min="6690" max="6692" width="9.6640625" style="1" customWidth="1"/>
    <col min="6693" max="6900" width="11.44140625" style="1"/>
    <col min="6901" max="6905" width="24.44140625" style="1" customWidth="1"/>
    <col min="6906" max="6906" width="14" style="1" customWidth="1"/>
    <col min="6907" max="6907" width="12" style="1" bestFit="1" customWidth="1"/>
    <col min="6908" max="6911" width="9.109375" style="1" customWidth="1"/>
    <col min="6912" max="6912" width="16.109375" style="1" customWidth="1"/>
    <col min="6913" max="6914" width="9.109375" style="1" customWidth="1"/>
    <col min="6915" max="6917" width="16" style="1" customWidth="1"/>
    <col min="6918" max="6918" width="16.109375" style="1" customWidth="1"/>
    <col min="6919" max="6920" width="9.109375" style="1" customWidth="1"/>
    <col min="6921" max="6923" width="15.44140625" style="1" customWidth="1"/>
    <col min="6924" max="6924" width="16.109375" style="1" customWidth="1"/>
    <col min="6925" max="6925" width="17.109375" style="1" customWidth="1"/>
    <col min="6926" max="6926" width="19.6640625" style="1" customWidth="1"/>
    <col min="6927" max="6927" width="22.33203125" style="1" customWidth="1"/>
    <col min="6928" max="6928" width="23.33203125" style="1" customWidth="1"/>
    <col min="6929" max="6929" width="9.109375" style="1" customWidth="1"/>
    <col min="6930" max="6930" width="17.109375" style="1" customWidth="1"/>
    <col min="6931" max="6931" width="11.6640625" style="1" customWidth="1"/>
    <col min="6932" max="6932" width="22.44140625" style="1" customWidth="1"/>
    <col min="6933" max="6933" width="25" style="1" customWidth="1"/>
    <col min="6934" max="6934" width="25.88671875" style="1" customWidth="1"/>
    <col min="6935" max="6935" width="24.33203125" style="1" customWidth="1"/>
    <col min="6936" max="6936" width="26.88671875" style="1" customWidth="1"/>
    <col min="6937" max="6937" width="9.109375" style="1" customWidth="1"/>
    <col min="6938" max="6938" width="29.44140625" style="1" customWidth="1"/>
    <col min="6939" max="6939" width="17.109375" style="1" customWidth="1"/>
    <col min="6940" max="6940" width="9.109375" style="1" customWidth="1"/>
    <col min="6941" max="6941" width="26.88671875" style="1" customWidth="1"/>
    <col min="6942" max="6942" width="9.109375" style="1" customWidth="1"/>
    <col min="6943" max="6943" width="17.109375" style="1" customWidth="1"/>
    <col min="6944" max="6944" width="30.44140625" style="1" customWidth="1"/>
    <col min="6945" max="6945" width="33" style="1" customWidth="1"/>
    <col min="6946" max="6948" width="9.6640625" style="1" customWidth="1"/>
    <col min="6949" max="7156" width="11.44140625" style="1"/>
    <col min="7157" max="7161" width="24.44140625" style="1" customWidth="1"/>
    <col min="7162" max="7162" width="14" style="1" customWidth="1"/>
    <col min="7163" max="7163" width="12" style="1" bestFit="1" customWidth="1"/>
    <col min="7164" max="7167" width="9.109375" style="1" customWidth="1"/>
    <col min="7168" max="7168" width="16.109375" style="1" customWidth="1"/>
    <col min="7169" max="7170" width="9.109375" style="1" customWidth="1"/>
    <col min="7171" max="7173" width="16" style="1" customWidth="1"/>
    <col min="7174" max="7174" width="16.109375" style="1" customWidth="1"/>
    <col min="7175" max="7176" width="9.109375" style="1" customWidth="1"/>
    <col min="7177" max="7179" width="15.44140625" style="1" customWidth="1"/>
    <col min="7180" max="7180" width="16.109375" style="1" customWidth="1"/>
    <col min="7181" max="7181" width="17.109375" style="1" customWidth="1"/>
    <col min="7182" max="7182" width="19.6640625" style="1" customWidth="1"/>
    <col min="7183" max="7183" width="22.33203125" style="1" customWidth="1"/>
    <col min="7184" max="7184" width="23.33203125" style="1" customWidth="1"/>
    <col min="7185" max="7185" width="9.109375" style="1" customWidth="1"/>
    <col min="7186" max="7186" width="17.109375" style="1" customWidth="1"/>
    <col min="7187" max="7187" width="11.6640625" style="1" customWidth="1"/>
    <col min="7188" max="7188" width="22.44140625" style="1" customWidth="1"/>
    <col min="7189" max="7189" width="25" style="1" customWidth="1"/>
    <col min="7190" max="7190" width="25.88671875" style="1" customWidth="1"/>
    <col min="7191" max="7191" width="24.33203125" style="1" customWidth="1"/>
    <col min="7192" max="7192" width="26.88671875" style="1" customWidth="1"/>
    <col min="7193" max="7193" width="9.109375" style="1" customWidth="1"/>
    <col min="7194" max="7194" width="29.44140625" style="1" customWidth="1"/>
    <col min="7195" max="7195" width="17.109375" style="1" customWidth="1"/>
    <col min="7196" max="7196" width="9.109375" style="1" customWidth="1"/>
    <col min="7197" max="7197" width="26.88671875" style="1" customWidth="1"/>
    <col min="7198" max="7198" width="9.109375" style="1" customWidth="1"/>
    <col min="7199" max="7199" width="17.109375" style="1" customWidth="1"/>
    <col min="7200" max="7200" width="30.44140625" style="1" customWidth="1"/>
    <col min="7201" max="7201" width="33" style="1" customWidth="1"/>
    <col min="7202" max="7204" width="9.6640625" style="1" customWidth="1"/>
    <col min="7205" max="7412" width="11.44140625" style="1"/>
    <col min="7413" max="7417" width="24.44140625" style="1" customWidth="1"/>
    <col min="7418" max="7418" width="14" style="1" customWidth="1"/>
    <col min="7419" max="7419" width="12" style="1" bestFit="1" customWidth="1"/>
    <col min="7420" max="7423" width="9.109375" style="1" customWidth="1"/>
    <col min="7424" max="7424" width="16.109375" style="1" customWidth="1"/>
    <col min="7425" max="7426" width="9.109375" style="1" customWidth="1"/>
    <col min="7427" max="7429" width="16" style="1" customWidth="1"/>
    <col min="7430" max="7430" width="16.109375" style="1" customWidth="1"/>
    <col min="7431" max="7432" width="9.109375" style="1" customWidth="1"/>
    <col min="7433" max="7435" width="15.44140625" style="1" customWidth="1"/>
    <col min="7436" max="7436" width="16.109375" style="1" customWidth="1"/>
    <col min="7437" max="7437" width="17.109375" style="1" customWidth="1"/>
    <col min="7438" max="7438" width="19.6640625" style="1" customWidth="1"/>
    <col min="7439" max="7439" width="22.33203125" style="1" customWidth="1"/>
    <col min="7440" max="7440" width="23.33203125" style="1" customWidth="1"/>
    <col min="7441" max="7441" width="9.109375" style="1" customWidth="1"/>
    <col min="7442" max="7442" width="17.109375" style="1" customWidth="1"/>
    <col min="7443" max="7443" width="11.6640625" style="1" customWidth="1"/>
    <col min="7444" max="7444" width="22.44140625" style="1" customWidth="1"/>
    <col min="7445" max="7445" width="25" style="1" customWidth="1"/>
    <col min="7446" max="7446" width="25.88671875" style="1" customWidth="1"/>
    <col min="7447" max="7447" width="24.33203125" style="1" customWidth="1"/>
    <col min="7448" max="7448" width="26.88671875" style="1" customWidth="1"/>
    <col min="7449" max="7449" width="9.109375" style="1" customWidth="1"/>
    <col min="7450" max="7450" width="29.44140625" style="1" customWidth="1"/>
    <col min="7451" max="7451" width="17.109375" style="1" customWidth="1"/>
    <col min="7452" max="7452" width="9.109375" style="1" customWidth="1"/>
    <col min="7453" max="7453" width="26.88671875" style="1" customWidth="1"/>
    <col min="7454" max="7454" width="9.109375" style="1" customWidth="1"/>
    <col min="7455" max="7455" width="17.109375" style="1" customWidth="1"/>
    <col min="7456" max="7456" width="30.44140625" style="1" customWidth="1"/>
    <col min="7457" max="7457" width="33" style="1" customWidth="1"/>
    <col min="7458" max="7460" width="9.6640625" style="1" customWidth="1"/>
    <col min="7461" max="7668" width="11.44140625" style="1"/>
    <col min="7669" max="7673" width="24.44140625" style="1" customWidth="1"/>
    <col min="7674" max="7674" width="14" style="1" customWidth="1"/>
    <col min="7675" max="7675" width="12" style="1" bestFit="1" customWidth="1"/>
    <col min="7676" max="7679" width="9.109375" style="1" customWidth="1"/>
    <col min="7680" max="7680" width="16.109375" style="1" customWidth="1"/>
    <col min="7681" max="7682" width="9.109375" style="1" customWidth="1"/>
    <col min="7683" max="7685" width="16" style="1" customWidth="1"/>
    <col min="7686" max="7686" width="16.109375" style="1" customWidth="1"/>
    <col min="7687" max="7688" width="9.109375" style="1" customWidth="1"/>
    <col min="7689" max="7691" width="15.44140625" style="1" customWidth="1"/>
    <col min="7692" max="7692" width="16.109375" style="1" customWidth="1"/>
    <col min="7693" max="7693" width="17.109375" style="1" customWidth="1"/>
    <col min="7694" max="7694" width="19.6640625" style="1" customWidth="1"/>
    <col min="7695" max="7695" width="22.33203125" style="1" customWidth="1"/>
    <col min="7696" max="7696" width="23.33203125" style="1" customWidth="1"/>
    <col min="7697" max="7697" width="9.109375" style="1" customWidth="1"/>
    <col min="7698" max="7698" width="17.109375" style="1" customWidth="1"/>
    <col min="7699" max="7699" width="11.6640625" style="1" customWidth="1"/>
    <col min="7700" max="7700" width="22.44140625" style="1" customWidth="1"/>
    <col min="7701" max="7701" width="25" style="1" customWidth="1"/>
    <col min="7702" max="7702" width="25.88671875" style="1" customWidth="1"/>
    <col min="7703" max="7703" width="24.33203125" style="1" customWidth="1"/>
    <col min="7704" max="7704" width="26.88671875" style="1" customWidth="1"/>
    <col min="7705" max="7705" width="9.109375" style="1" customWidth="1"/>
    <col min="7706" max="7706" width="29.44140625" style="1" customWidth="1"/>
    <col min="7707" max="7707" width="17.109375" style="1" customWidth="1"/>
    <col min="7708" max="7708" width="9.109375" style="1" customWidth="1"/>
    <col min="7709" max="7709" width="26.88671875" style="1" customWidth="1"/>
    <col min="7710" max="7710" width="9.109375" style="1" customWidth="1"/>
    <col min="7711" max="7711" width="17.109375" style="1" customWidth="1"/>
    <col min="7712" max="7712" width="30.44140625" style="1" customWidth="1"/>
    <col min="7713" max="7713" width="33" style="1" customWidth="1"/>
    <col min="7714" max="7716" width="9.6640625" style="1" customWidth="1"/>
    <col min="7717" max="7924" width="11.44140625" style="1"/>
    <col min="7925" max="7929" width="24.44140625" style="1" customWidth="1"/>
    <col min="7930" max="7930" width="14" style="1" customWidth="1"/>
    <col min="7931" max="7931" width="12" style="1" bestFit="1" customWidth="1"/>
    <col min="7932" max="7935" width="9.109375" style="1" customWidth="1"/>
    <col min="7936" max="7936" width="16.109375" style="1" customWidth="1"/>
    <col min="7937" max="7938" width="9.109375" style="1" customWidth="1"/>
    <col min="7939" max="7941" width="16" style="1" customWidth="1"/>
    <col min="7942" max="7942" width="16.109375" style="1" customWidth="1"/>
    <col min="7943" max="7944" width="9.109375" style="1" customWidth="1"/>
    <col min="7945" max="7947" width="15.44140625" style="1" customWidth="1"/>
    <col min="7948" max="7948" width="16.109375" style="1" customWidth="1"/>
    <col min="7949" max="7949" width="17.109375" style="1" customWidth="1"/>
    <col min="7950" max="7950" width="19.6640625" style="1" customWidth="1"/>
    <col min="7951" max="7951" width="22.33203125" style="1" customWidth="1"/>
    <col min="7952" max="7952" width="23.33203125" style="1" customWidth="1"/>
    <col min="7953" max="7953" width="9.109375" style="1" customWidth="1"/>
    <col min="7954" max="7954" width="17.109375" style="1" customWidth="1"/>
    <col min="7955" max="7955" width="11.6640625" style="1" customWidth="1"/>
    <col min="7956" max="7956" width="22.44140625" style="1" customWidth="1"/>
    <col min="7957" max="7957" width="25" style="1" customWidth="1"/>
    <col min="7958" max="7958" width="25.88671875" style="1" customWidth="1"/>
    <col min="7959" max="7959" width="24.33203125" style="1" customWidth="1"/>
    <col min="7960" max="7960" width="26.88671875" style="1" customWidth="1"/>
    <col min="7961" max="7961" width="9.109375" style="1" customWidth="1"/>
    <col min="7962" max="7962" width="29.44140625" style="1" customWidth="1"/>
    <col min="7963" max="7963" width="17.109375" style="1" customWidth="1"/>
    <col min="7964" max="7964" width="9.109375" style="1" customWidth="1"/>
    <col min="7965" max="7965" width="26.88671875" style="1" customWidth="1"/>
    <col min="7966" max="7966" width="9.109375" style="1" customWidth="1"/>
    <col min="7967" max="7967" width="17.109375" style="1" customWidth="1"/>
    <col min="7968" max="7968" width="30.44140625" style="1" customWidth="1"/>
    <col min="7969" max="7969" width="33" style="1" customWidth="1"/>
    <col min="7970" max="7972" width="9.6640625" style="1" customWidth="1"/>
    <col min="7973" max="8180" width="11.44140625" style="1"/>
    <col min="8181" max="8185" width="24.44140625" style="1" customWidth="1"/>
    <col min="8186" max="8186" width="14" style="1" customWidth="1"/>
    <col min="8187" max="8187" width="12" style="1" bestFit="1" customWidth="1"/>
    <col min="8188" max="8191" width="9.109375" style="1" customWidth="1"/>
    <col min="8192" max="8192" width="16.109375" style="1" customWidth="1"/>
    <col min="8193" max="8194" width="9.109375" style="1" customWidth="1"/>
    <col min="8195" max="8197" width="16" style="1" customWidth="1"/>
    <col min="8198" max="8198" width="16.109375" style="1" customWidth="1"/>
    <col min="8199" max="8200" width="9.109375" style="1" customWidth="1"/>
    <col min="8201" max="8203" width="15.44140625" style="1" customWidth="1"/>
    <col min="8204" max="8204" width="16.109375" style="1" customWidth="1"/>
    <col min="8205" max="8205" width="17.109375" style="1" customWidth="1"/>
    <col min="8206" max="8206" width="19.6640625" style="1" customWidth="1"/>
    <col min="8207" max="8207" width="22.33203125" style="1" customWidth="1"/>
    <col min="8208" max="8208" width="23.33203125" style="1" customWidth="1"/>
    <col min="8209" max="8209" width="9.109375" style="1" customWidth="1"/>
    <col min="8210" max="8210" width="17.109375" style="1" customWidth="1"/>
    <col min="8211" max="8211" width="11.6640625" style="1" customWidth="1"/>
    <col min="8212" max="8212" width="22.44140625" style="1" customWidth="1"/>
    <col min="8213" max="8213" width="25" style="1" customWidth="1"/>
    <col min="8214" max="8214" width="25.88671875" style="1" customWidth="1"/>
    <col min="8215" max="8215" width="24.33203125" style="1" customWidth="1"/>
    <col min="8216" max="8216" width="26.88671875" style="1" customWidth="1"/>
    <col min="8217" max="8217" width="9.109375" style="1" customWidth="1"/>
    <col min="8218" max="8218" width="29.44140625" style="1" customWidth="1"/>
    <col min="8219" max="8219" width="17.109375" style="1" customWidth="1"/>
    <col min="8220" max="8220" width="9.109375" style="1" customWidth="1"/>
    <col min="8221" max="8221" width="26.88671875" style="1" customWidth="1"/>
    <col min="8222" max="8222" width="9.109375" style="1" customWidth="1"/>
    <col min="8223" max="8223" width="17.109375" style="1" customWidth="1"/>
    <col min="8224" max="8224" width="30.44140625" style="1" customWidth="1"/>
    <col min="8225" max="8225" width="33" style="1" customWidth="1"/>
    <col min="8226" max="8228" width="9.6640625" style="1" customWidth="1"/>
    <col min="8229" max="8436" width="11.44140625" style="1"/>
    <col min="8437" max="8441" width="24.44140625" style="1" customWidth="1"/>
    <col min="8442" max="8442" width="14" style="1" customWidth="1"/>
    <col min="8443" max="8443" width="12" style="1" bestFit="1" customWidth="1"/>
    <col min="8444" max="8447" width="9.109375" style="1" customWidth="1"/>
    <col min="8448" max="8448" width="16.109375" style="1" customWidth="1"/>
    <col min="8449" max="8450" width="9.109375" style="1" customWidth="1"/>
    <col min="8451" max="8453" width="16" style="1" customWidth="1"/>
    <col min="8454" max="8454" width="16.109375" style="1" customWidth="1"/>
    <col min="8455" max="8456" width="9.109375" style="1" customWidth="1"/>
    <col min="8457" max="8459" width="15.44140625" style="1" customWidth="1"/>
    <col min="8460" max="8460" width="16.109375" style="1" customWidth="1"/>
    <col min="8461" max="8461" width="17.109375" style="1" customWidth="1"/>
    <col min="8462" max="8462" width="19.6640625" style="1" customWidth="1"/>
    <col min="8463" max="8463" width="22.33203125" style="1" customWidth="1"/>
    <col min="8464" max="8464" width="23.33203125" style="1" customWidth="1"/>
    <col min="8465" max="8465" width="9.109375" style="1" customWidth="1"/>
    <col min="8466" max="8466" width="17.109375" style="1" customWidth="1"/>
    <col min="8467" max="8467" width="11.6640625" style="1" customWidth="1"/>
    <col min="8468" max="8468" width="22.44140625" style="1" customWidth="1"/>
    <col min="8469" max="8469" width="25" style="1" customWidth="1"/>
    <col min="8470" max="8470" width="25.88671875" style="1" customWidth="1"/>
    <col min="8471" max="8471" width="24.33203125" style="1" customWidth="1"/>
    <col min="8472" max="8472" width="26.88671875" style="1" customWidth="1"/>
    <col min="8473" max="8473" width="9.109375" style="1" customWidth="1"/>
    <col min="8474" max="8474" width="29.44140625" style="1" customWidth="1"/>
    <col min="8475" max="8475" width="17.109375" style="1" customWidth="1"/>
    <col min="8476" max="8476" width="9.109375" style="1" customWidth="1"/>
    <col min="8477" max="8477" width="26.88671875" style="1" customWidth="1"/>
    <col min="8478" max="8478" width="9.109375" style="1" customWidth="1"/>
    <col min="8479" max="8479" width="17.109375" style="1" customWidth="1"/>
    <col min="8480" max="8480" width="30.44140625" style="1" customWidth="1"/>
    <col min="8481" max="8481" width="33" style="1" customWidth="1"/>
    <col min="8482" max="8484" width="9.6640625" style="1" customWidth="1"/>
    <col min="8485" max="8692" width="11.44140625" style="1"/>
    <col min="8693" max="8697" width="24.44140625" style="1" customWidth="1"/>
    <col min="8698" max="8698" width="14" style="1" customWidth="1"/>
    <col min="8699" max="8699" width="12" style="1" bestFit="1" customWidth="1"/>
    <col min="8700" max="8703" width="9.109375" style="1" customWidth="1"/>
    <col min="8704" max="8704" width="16.109375" style="1" customWidth="1"/>
    <col min="8705" max="8706" width="9.109375" style="1" customWidth="1"/>
    <col min="8707" max="8709" width="16" style="1" customWidth="1"/>
    <col min="8710" max="8710" width="16.109375" style="1" customWidth="1"/>
    <col min="8711" max="8712" width="9.109375" style="1" customWidth="1"/>
    <col min="8713" max="8715" width="15.44140625" style="1" customWidth="1"/>
    <col min="8716" max="8716" width="16.109375" style="1" customWidth="1"/>
    <col min="8717" max="8717" width="17.109375" style="1" customWidth="1"/>
    <col min="8718" max="8718" width="19.6640625" style="1" customWidth="1"/>
    <col min="8719" max="8719" width="22.33203125" style="1" customWidth="1"/>
    <col min="8720" max="8720" width="23.33203125" style="1" customWidth="1"/>
    <col min="8721" max="8721" width="9.109375" style="1" customWidth="1"/>
    <col min="8722" max="8722" width="17.109375" style="1" customWidth="1"/>
    <col min="8723" max="8723" width="11.6640625" style="1" customWidth="1"/>
    <col min="8724" max="8724" width="22.44140625" style="1" customWidth="1"/>
    <col min="8725" max="8725" width="25" style="1" customWidth="1"/>
    <col min="8726" max="8726" width="25.88671875" style="1" customWidth="1"/>
    <col min="8727" max="8727" width="24.33203125" style="1" customWidth="1"/>
    <col min="8728" max="8728" width="26.88671875" style="1" customWidth="1"/>
    <col min="8729" max="8729" width="9.109375" style="1" customWidth="1"/>
    <col min="8730" max="8730" width="29.44140625" style="1" customWidth="1"/>
    <col min="8731" max="8731" width="17.109375" style="1" customWidth="1"/>
    <col min="8732" max="8732" width="9.109375" style="1" customWidth="1"/>
    <col min="8733" max="8733" width="26.88671875" style="1" customWidth="1"/>
    <col min="8734" max="8734" width="9.109375" style="1" customWidth="1"/>
    <col min="8735" max="8735" width="17.109375" style="1" customWidth="1"/>
    <col min="8736" max="8736" width="30.44140625" style="1" customWidth="1"/>
    <col min="8737" max="8737" width="33" style="1" customWidth="1"/>
    <col min="8738" max="8740" width="9.6640625" style="1" customWidth="1"/>
    <col min="8741" max="8948" width="11.44140625" style="1"/>
    <col min="8949" max="8953" width="24.44140625" style="1" customWidth="1"/>
    <col min="8954" max="8954" width="14" style="1" customWidth="1"/>
    <col min="8955" max="8955" width="12" style="1" bestFit="1" customWidth="1"/>
    <col min="8956" max="8959" width="9.109375" style="1" customWidth="1"/>
    <col min="8960" max="8960" width="16.109375" style="1" customWidth="1"/>
    <col min="8961" max="8962" width="9.109375" style="1" customWidth="1"/>
    <col min="8963" max="8965" width="16" style="1" customWidth="1"/>
    <col min="8966" max="8966" width="16.109375" style="1" customWidth="1"/>
    <col min="8967" max="8968" width="9.109375" style="1" customWidth="1"/>
    <col min="8969" max="8971" width="15.44140625" style="1" customWidth="1"/>
    <col min="8972" max="8972" width="16.109375" style="1" customWidth="1"/>
    <col min="8973" max="8973" width="17.109375" style="1" customWidth="1"/>
    <col min="8974" max="8974" width="19.6640625" style="1" customWidth="1"/>
    <col min="8975" max="8975" width="22.33203125" style="1" customWidth="1"/>
    <col min="8976" max="8976" width="23.33203125" style="1" customWidth="1"/>
    <col min="8977" max="8977" width="9.109375" style="1" customWidth="1"/>
    <col min="8978" max="8978" width="17.109375" style="1" customWidth="1"/>
    <col min="8979" max="8979" width="11.6640625" style="1" customWidth="1"/>
    <col min="8980" max="8980" width="22.44140625" style="1" customWidth="1"/>
    <col min="8981" max="8981" width="25" style="1" customWidth="1"/>
    <col min="8982" max="8982" width="25.88671875" style="1" customWidth="1"/>
    <col min="8983" max="8983" width="24.33203125" style="1" customWidth="1"/>
    <col min="8984" max="8984" width="26.88671875" style="1" customWidth="1"/>
    <col min="8985" max="8985" width="9.109375" style="1" customWidth="1"/>
    <col min="8986" max="8986" width="29.44140625" style="1" customWidth="1"/>
    <col min="8987" max="8987" width="17.109375" style="1" customWidth="1"/>
    <col min="8988" max="8988" width="9.109375" style="1" customWidth="1"/>
    <col min="8989" max="8989" width="26.88671875" style="1" customWidth="1"/>
    <col min="8990" max="8990" width="9.109375" style="1" customWidth="1"/>
    <col min="8991" max="8991" width="17.109375" style="1" customWidth="1"/>
    <col min="8992" max="8992" width="30.44140625" style="1" customWidth="1"/>
    <col min="8993" max="8993" width="33" style="1" customWidth="1"/>
    <col min="8994" max="8996" width="9.6640625" style="1" customWidth="1"/>
    <col min="8997" max="9204" width="11.44140625" style="1"/>
    <col min="9205" max="9209" width="24.44140625" style="1" customWidth="1"/>
    <col min="9210" max="9210" width="14" style="1" customWidth="1"/>
    <col min="9211" max="9211" width="12" style="1" bestFit="1" customWidth="1"/>
    <col min="9212" max="9215" width="9.109375" style="1" customWidth="1"/>
    <col min="9216" max="9216" width="16.109375" style="1" customWidth="1"/>
    <col min="9217" max="9218" width="9.109375" style="1" customWidth="1"/>
    <col min="9219" max="9221" width="16" style="1" customWidth="1"/>
    <col min="9222" max="9222" width="16.109375" style="1" customWidth="1"/>
    <col min="9223" max="9224" width="9.109375" style="1" customWidth="1"/>
    <col min="9225" max="9227" width="15.44140625" style="1" customWidth="1"/>
    <col min="9228" max="9228" width="16.109375" style="1" customWidth="1"/>
    <col min="9229" max="9229" width="17.109375" style="1" customWidth="1"/>
    <col min="9230" max="9230" width="19.6640625" style="1" customWidth="1"/>
    <col min="9231" max="9231" width="22.33203125" style="1" customWidth="1"/>
    <col min="9232" max="9232" width="23.33203125" style="1" customWidth="1"/>
    <col min="9233" max="9233" width="9.109375" style="1" customWidth="1"/>
    <col min="9234" max="9234" width="17.109375" style="1" customWidth="1"/>
    <col min="9235" max="9235" width="11.6640625" style="1" customWidth="1"/>
    <col min="9236" max="9236" width="22.44140625" style="1" customWidth="1"/>
    <col min="9237" max="9237" width="25" style="1" customWidth="1"/>
    <col min="9238" max="9238" width="25.88671875" style="1" customWidth="1"/>
    <col min="9239" max="9239" width="24.33203125" style="1" customWidth="1"/>
    <col min="9240" max="9240" width="26.88671875" style="1" customWidth="1"/>
    <col min="9241" max="9241" width="9.109375" style="1" customWidth="1"/>
    <col min="9242" max="9242" width="29.44140625" style="1" customWidth="1"/>
    <col min="9243" max="9243" width="17.109375" style="1" customWidth="1"/>
    <col min="9244" max="9244" width="9.109375" style="1" customWidth="1"/>
    <col min="9245" max="9245" width="26.88671875" style="1" customWidth="1"/>
    <col min="9246" max="9246" width="9.109375" style="1" customWidth="1"/>
    <col min="9247" max="9247" width="17.109375" style="1" customWidth="1"/>
    <col min="9248" max="9248" width="30.44140625" style="1" customWidth="1"/>
    <col min="9249" max="9249" width="33" style="1" customWidth="1"/>
    <col min="9250" max="9252" width="9.6640625" style="1" customWidth="1"/>
    <col min="9253" max="9460" width="11.44140625" style="1"/>
    <col min="9461" max="9465" width="24.44140625" style="1" customWidth="1"/>
    <col min="9466" max="9466" width="14" style="1" customWidth="1"/>
    <col min="9467" max="9467" width="12" style="1" bestFit="1" customWidth="1"/>
    <col min="9468" max="9471" width="9.109375" style="1" customWidth="1"/>
    <col min="9472" max="9472" width="16.109375" style="1" customWidth="1"/>
    <col min="9473" max="9474" width="9.109375" style="1" customWidth="1"/>
    <col min="9475" max="9477" width="16" style="1" customWidth="1"/>
    <col min="9478" max="9478" width="16.109375" style="1" customWidth="1"/>
    <col min="9479" max="9480" width="9.109375" style="1" customWidth="1"/>
    <col min="9481" max="9483" width="15.44140625" style="1" customWidth="1"/>
    <col min="9484" max="9484" width="16.109375" style="1" customWidth="1"/>
    <col min="9485" max="9485" width="17.109375" style="1" customWidth="1"/>
    <col min="9486" max="9486" width="19.6640625" style="1" customWidth="1"/>
    <col min="9487" max="9487" width="22.33203125" style="1" customWidth="1"/>
    <col min="9488" max="9488" width="23.33203125" style="1" customWidth="1"/>
    <col min="9489" max="9489" width="9.109375" style="1" customWidth="1"/>
    <col min="9490" max="9490" width="17.109375" style="1" customWidth="1"/>
    <col min="9491" max="9491" width="11.6640625" style="1" customWidth="1"/>
    <col min="9492" max="9492" width="22.44140625" style="1" customWidth="1"/>
    <col min="9493" max="9493" width="25" style="1" customWidth="1"/>
    <col min="9494" max="9494" width="25.88671875" style="1" customWidth="1"/>
    <col min="9495" max="9495" width="24.33203125" style="1" customWidth="1"/>
    <col min="9496" max="9496" width="26.88671875" style="1" customWidth="1"/>
    <col min="9497" max="9497" width="9.109375" style="1" customWidth="1"/>
    <col min="9498" max="9498" width="29.44140625" style="1" customWidth="1"/>
    <col min="9499" max="9499" width="17.109375" style="1" customWidth="1"/>
    <col min="9500" max="9500" width="9.109375" style="1" customWidth="1"/>
    <col min="9501" max="9501" width="26.88671875" style="1" customWidth="1"/>
    <col min="9502" max="9502" width="9.109375" style="1" customWidth="1"/>
    <col min="9503" max="9503" width="17.109375" style="1" customWidth="1"/>
    <col min="9504" max="9504" width="30.44140625" style="1" customWidth="1"/>
    <col min="9505" max="9505" width="33" style="1" customWidth="1"/>
    <col min="9506" max="9508" width="9.6640625" style="1" customWidth="1"/>
    <col min="9509" max="9716" width="11.44140625" style="1"/>
    <col min="9717" max="9721" width="24.44140625" style="1" customWidth="1"/>
    <col min="9722" max="9722" width="14" style="1" customWidth="1"/>
    <col min="9723" max="9723" width="12" style="1" bestFit="1" customWidth="1"/>
    <col min="9724" max="9727" width="9.109375" style="1" customWidth="1"/>
    <col min="9728" max="9728" width="16.109375" style="1" customWidth="1"/>
    <col min="9729" max="9730" width="9.109375" style="1" customWidth="1"/>
    <col min="9731" max="9733" width="16" style="1" customWidth="1"/>
    <col min="9734" max="9734" width="16.109375" style="1" customWidth="1"/>
    <col min="9735" max="9736" width="9.109375" style="1" customWidth="1"/>
    <col min="9737" max="9739" width="15.44140625" style="1" customWidth="1"/>
    <col min="9740" max="9740" width="16.109375" style="1" customWidth="1"/>
    <col min="9741" max="9741" width="17.109375" style="1" customWidth="1"/>
    <col min="9742" max="9742" width="19.6640625" style="1" customWidth="1"/>
    <col min="9743" max="9743" width="22.33203125" style="1" customWidth="1"/>
    <col min="9744" max="9744" width="23.33203125" style="1" customWidth="1"/>
    <col min="9745" max="9745" width="9.109375" style="1" customWidth="1"/>
    <col min="9746" max="9746" width="17.109375" style="1" customWidth="1"/>
    <col min="9747" max="9747" width="11.6640625" style="1" customWidth="1"/>
    <col min="9748" max="9748" width="22.44140625" style="1" customWidth="1"/>
    <col min="9749" max="9749" width="25" style="1" customWidth="1"/>
    <col min="9750" max="9750" width="25.88671875" style="1" customWidth="1"/>
    <col min="9751" max="9751" width="24.33203125" style="1" customWidth="1"/>
    <col min="9752" max="9752" width="26.88671875" style="1" customWidth="1"/>
    <col min="9753" max="9753" width="9.109375" style="1" customWidth="1"/>
    <col min="9754" max="9754" width="29.44140625" style="1" customWidth="1"/>
    <col min="9755" max="9755" width="17.109375" style="1" customWidth="1"/>
    <col min="9756" max="9756" width="9.109375" style="1" customWidth="1"/>
    <col min="9757" max="9757" width="26.88671875" style="1" customWidth="1"/>
    <col min="9758" max="9758" width="9.109375" style="1" customWidth="1"/>
    <col min="9759" max="9759" width="17.109375" style="1" customWidth="1"/>
    <col min="9760" max="9760" width="30.44140625" style="1" customWidth="1"/>
    <col min="9761" max="9761" width="33" style="1" customWidth="1"/>
    <col min="9762" max="9764" width="9.6640625" style="1" customWidth="1"/>
    <col min="9765" max="9972" width="11.44140625" style="1"/>
    <col min="9973" max="9977" width="24.44140625" style="1" customWidth="1"/>
    <col min="9978" max="9978" width="14" style="1" customWidth="1"/>
    <col min="9979" max="9979" width="12" style="1" bestFit="1" customWidth="1"/>
    <col min="9980" max="9983" width="9.109375" style="1" customWidth="1"/>
    <col min="9984" max="9984" width="16.109375" style="1" customWidth="1"/>
    <col min="9985" max="9986" width="9.109375" style="1" customWidth="1"/>
    <col min="9987" max="9989" width="16" style="1" customWidth="1"/>
    <col min="9990" max="9990" width="16.109375" style="1" customWidth="1"/>
    <col min="9991" max="9992" width="9.109375" style="1" customWidth="1"/>
    <col min="9993" max="9995" width="15.44140625" style="1" customWidth="1"/>
    <col min="9996" max="9996" width="16.109375" style="1" customWidth="1"/>
    <col min="9997" max="9997" width="17.109375" style="1" customWidth="1"/>
    <col min="9998" max="9998" width="19.6640625" style="1" customWidth="1"/>
    <col min="9999" max="9999" width="22.33203125" style="1" customWidth="1"/>
    <col min="10000" max="10000" width="23.33203125" style="1" customWidth="1"/>
    <col min="10001" max="10001" width="9.109375" style="1" customWidth="1"/>
    <col min="10002" max="10002" width="17.109375" style="1" customWidth="1"/>
    <col min="10003" max="10003" width="11.6640625" style="1" customWidth="1"/>
    <col min="10004" max="10004" width="22.44140625" style="1" customWidth="1"/>
    <col min="10005" max="10005" width="25" style="1" customWidth="1"/>
    <col min="10006" max="10006" width="25.88671875" style="1" customWidth="1"/>
    <col min="10007" max="10007" width="24.33203125" style="1" customWidth="1"/>
    <col min="10008" max="10008" width="26.88671875" style="1" customWidth="1"/>
    <col min="10009" max="10009" width="9.109375" style="1" customWidth="1"/>
    <col min="10010" max="10010" width="29.44140625" style="1" customWidth="1"/>
    <col min="10011" max="10011" width="17.109375" style="1" customWidth="1"/>
    <col min="10012" max="10012" width="9.109375" style="1" customWidth="1"/>
    <col min="10013" max="10013" width="26.88671875" style="1" customWidth="1"/>
    <col min="10014" max="10014" width="9.109375" style="1" customWidth="1"/>
    <col min="10015" max="10015" width="17.109375" style="1" customWidth="1"/>
    <col min="10016" max="10016" width="30.44140625" style="1" customWidth="1"/>
    <col min="10017" max="10017" width="33" style="1" customWidth="1"/>
    <col min="10018" max="10020" width="9.6640625" style="1" customWidth="1"/>
    <col min="10021" max="10228" width="11.44140625" style="1"/>
    <col min="10229" max="10233" width="24.44140625" style="1" customWidth="1"/>
    <col min="10234" max="10234" width="14" style="1" customWidth="1"/>
    <col min="10235" max="10235" width="12" style="1" bestFit="1" customWidth="1"/>
    <col min="10236" max="10239" width="9.109375" style="1" customWidth="1"/>
    <col min="10240" max="10240" width="16.109375" style="1" customWidth="1"/>
    <col min="10241" max="10242" width="9.109375" style="1" customWidth="1"/>
    <col min="10243" max="10245" width="16" style="1" customWidth="1"/>
    <col min="10246" max="10246" width="16.109375" style="1" customWidth="1"/>
    <col min="10247" max="10248" width="9.109375" style="1" customWidth="1"/>
    <col min="10249" max="10251" width="15.44140625" style="1" customWidth="1"/>
    <col min="10252" max="10252" width="16.109375" style="1" customWidth="1"/>
    <col min="10253" max="10253" width="17.109375" style="1" customWidth="1"/>
    <col min="10254" max="10254" width="19.6640625" style="1" customWidth="1"/>
    <col min="10255" max="10255" width="22.33203125" style="1" customWidth="1"/>
    <col min="10256" max="10256" width="23.33203125" style="1" customWidth="1"/>
    <col min="10257" max="10257" width="9.109375" style="1" customWidth="1"/>
    <col min="10258" max="10258" width="17.109375" style="1" customWidth="1"/>
    <col min="10259" max="10259" width="11.6640625" style="1" customWidth="1"/>
    <col min="10260" max="10260" width="22.44140625" style="1" customWidth="1"/>
    <col min="10261" max="10261" width="25" style="1" customWidth="1"/>
    <col min="10262" max="10262" width="25.88671875" style="1" customWidth="1"/>
    <col min="10263" max="10263" width="24.33203125" style="1" customWidth="1"/>
    <col min="10264" max="10264" width="26.88671875" style="1" customWidth="1"/>
    <col min="10265" max="10265" width="9.109375" style="1" customWidth="1"/>
    <col min="10266" max="10266" width="29.44140625" style="1" customWidth="1"/>
    <col min="10267" max="10267" width="17.109375" style="1" customWidth="1"/>
    <col min="10268" max="10268" width="9.109375" style="1" customWidth="1"/>
    <col min="10269" max="10269" width="26.88671875" style="1" customWidth="1"/>
    <col min="10270" max="10270" width="9.109375" style="1" customWidth="1"/>
    <col min="10271" max="10271" width="17.109375" style="1" customWidth="1"/>
    <col min="10272" max="10272" width="30.44140625" style="1" customWidth="1"/>
    <col min="10273" max="10273" width="33" style="1" customWidth="1"/>
    <col min="10274" max="10276" width="9.6640625" style="1" customWidth="1"/>
    <col min="10277" max="10484" width="11.44140625" style="1"/>
    <col min="10485" max="10489" width="24.44140625" style="1" customWidth="1"/>
    <col min="10490" max="10490" width="14" style="1" customWidth="1"/>
    <col min="10491" max="10491" width="12" style="1" bestFit="1" customWidth="1"/>
    <col min="10492" max="10495" width="9.109375" style="1" customWidth="1"/>
    <col min="10496" max="10496" width="16.109375" style="1" customWidth="1"/>
    <col min="10497" max="10498" width="9.109375" style="1" customWidth="1"/>
    <col min="10499" max="10501" width="16" style="1" customWidth="1"/>
    <col min="10502" max="10502" width="16.109375" style="1" customWidth="1"/>
    <col min="10503" max="10504" width="9.109375" style="1" customWidth="1"/>
    <col min="10505" max="10507" width="15.44140625" style="1" customWidth="1"/>
    <col min="10508" max="10508" width="16.109375" style="1" customWidth="1"/>
    <col min="10509" max="10509" width="17.109375" style="1" customWidth="1"/>
    <col min="10510" max="10510" width="19.6640625" style="1" customWidth="1"/>
    <col min="10511" max="10511" width="22.33203125" style="1" customWidth="1"/>
    <col min="10512" max="10512" width="23.33203125" style="1" customWidth="1"/>
    <col min="10513" max="10513" width="9.109375" style="1" customWidth="1"/>
    <col min="10514" max="10514" width="17.109375" style="1" customWidth="1"/>
    <col min="10515" max="10515" width="11.6640625" style="1" customWidth="1"/>
    <col min="10516" max="10516" width="22.44140625" style="1" customWidth="1"/>
    <col min="10517" max="10517" width="25" style="1" customWidth="1"/>
    <col min="10518" max="10518" width="25.88671875" style="1" customWidth="1"/>
    <col min="10519" max="10519" width="24.33203125" style="1" customWidth="1"/>
    <col min="10520" max="10520" width="26.88671875" style="1" customWidth="1"/>
    <col min="10521" max="10521" width="9.109375" style="1" customWidth="1"/>
    <col min="10522" max="10522" width="29.44140625" style="1" customWidth="1"/>
    <col min="10523" max="10523" width="17.109375" style="1" customWidth="1"/>
    <col min="10524" max="10524" width="9.109375" style="1" customWidth="1"/>
    <col min="10525" max="10525" width="26.88671875" style="1" customWidth="1"/>
    <col min="10526" max="10526" width="9.109375" style="1" customWidth="1"/>
    <col min="10527" max="10527" width="17.109375" style="1" customWidth="1"/>
    <col min="10528" max="10528" width="30.44140625" style="1" customWidth="1"/>
    <col min="10529" max="10529" width="33" style="1" customWidth="1"/>
    <col min="10530" max="10532" width="9.6640625" style="1" customWidth="1"/>
    <col min="10533" max="10740" width="11.44140625" style="1"/>
    <col min="10741" max="10745" width="24.44140625" style="1" customWidth="1"/>
    <col min="10746" max="10746" width="14" style="1" customWidth="1"/>
    <col min="10747" max="10747" width="12" style="1" bestFit="1" customWidth="1"/>
    <col min="10748" max="10751" width="9.109375" style="1" customWidth="1"/>
    <col min="10752" max="10752" width="16.109375" style="1" customWidth="1"/>
    <col min="10753" max="10754" width="9.109375" style="1" customWidth="1"/>
    <col min="10755" max="10757" width="16" style="1" customWidth="1"/>
    <col min="10758" max="10758" width="16.109375" style="1" customWidth="1"/>
    <col min="10759" max="10760" width="9.109375" style="1" customWidth="1"/>
    <col min="10761" max="10763" width="15.44140625" style="1" customWidth="1"/>
    <col min="10764" max="10764" width="16.109375" style="1" customWidth="1"/>
    <col min="10765" max="10765" width="17.109375" style="1" customWidth="1"/>
    <col min="10766" max="10766" width="19.6640625" style="1" customWidth="1"/>
    <col min="10767" max="10767" width="22.33203125" style="1" customWidth="1"/>
    <col min="10768" max="10768" width="23.33203125" style="1" customWidth="1"/>
    <col min="10769" max="10769" width="9.109375" style="1" customWidth="1"/>
    <col min="10770" max="10770" width="17.109375" style="1" customWidth="1"/>
    <col min="10771" max="10771" width="11.6640625" style="1" customWidth="1"/>
    <col min="10772" max="10772" width="22.44140625" style="1" customWidth="1"/>
    <col min="10773" max="10773" width="25" style="1" customWidth="1"/>
    <col min="10774" max="10774" width="25.88671875" style="1" customWidth="1"/>
    <col min="10775" max="10775" width="24.33203125" style="1" customWidth="1"/>
    <col min="10776" max="10776" width="26.88671875" style="1" customWidth="1"/>
    <col min="10777" max="10777" width="9.109375" style="1" customWidth="1"/>
    <col min="10778" max="10778" width="29.44140625" style="1" customWidth="1"/>
    <col min="10779" max="10779" width="17.109375" style="1" customWidth="1"/>
    <col min="10780" max="10780" width="9.109375" style="1" customWidth="1"/>
    <col min="10781" max="10781" width="26.88671875" style="1" customWidth="1"/>
    <col min="10782" max="10782" width="9.109375" style="1" customWidth="1"/>
    <col min="10783" max="10783" width="17.109375" style="1" customWidth="1"/>
    <col min="10784" max="10784" width="30.44140625" style="1" customWidth="1"/>
    <col min="10785" max="10785" width="33" style="1" customWidth="1"/>
    <col min="10786" max="10788" width="9.6640625" style="1" customWidth="1"/>
    <col min="10789" max="10996" width="11.44140625" style="1"/>
    <col min="10997" max="11001" width="24.44140625" style="1" customWidth="1"/>
    <col min="11002" max="11002" width="14" style="1" customWidth="1"/>
    <col min="11003" max="11003" width="12" style="1" bestFit="1" customWidth="1"/>
    <col min="11004" max="11007" width="9.109375" style="1" customWidth="1"/>
    <col min="11008" max="11008" width="16.109375" style="1" customWidth="1"/>
    <col min="11009" max="11010" width="9.109375" style="1" customWidth="1"/>
    <col min="11011" max="11013" width="16" style="1" customWidth="1"/>
    <col min="11014" max="11014" width="16.109375" style="1" customWidth="1"/>
    <col min="11015" max="11016" width="9.109375" style="1" customWidth="1"/>
    <col min="11017" max="11019" width="15.44140625" style="1" customWidth="1"/>
    <col min="11020" max="11020" width="16.109375" style="1" customWidth="1"/>
    <col min="11021" max="11021" width="17.109375" style="1" customWidth="1"/>
    <col min="11022" max="11022" width="19.6640625" style="1" customWidth="1"/>
    <col min="11023" max="11023" width="22.33203125" style="1" customWidth="1"/>
    <col min="11024" max="11024" width="23.33203125" style="1" customWidth="1"/>
    <col min="11025" max="11025" width="9.109375" style="1" customWidth="1"/>
    <col min="11026" max="11026" width="17.109375" style="1" customWidth="1"/>
    <col min="11027" max="11027" width="11.6640625" style="1" customWidth="1"/>
    <col min="11028" max="11028" width="22.44140625" style="1" customWidth="1"/>
    <col min="11029" max="11029" width="25" style="1" customWidth="1"/>
    <col min="11030" max="11030" width="25.88671875" style="1" customWidth="1"/>
    <col min="11031" max="11031" width="24.33203125" style="1" customWidth="1"/>
    <col min="11032" max="11032" width="26.88671875" style="1" customWidth="1"/>
    <col min="11033" max="11033" width="9.109375" style="1" customWidth="1"/>
    <col min="11034" max="11034" width="29.44140625" style="1" customWidth="1"/>
    <col min="11035" max="11035" width="17.109375" style="1" customWidth="1"/>
    <col min="11036" max="11036" width="9.109375" style="1" customWidth="1"/>
    <col min="11037" max="11037" width="26.88671875" style="1" customWidth="1"/>
    <col min="11038" max="11038" width="9.109375" style="1" customWidth="1"/>
    <col min="11039" max="11039" width="17.109375" style="1" customWidth="1"/>
    <col min="11040" max="11040" width="30.44140625" style="1" customWidth="1"/>
    <col min="11041" max="11041" width="33" style="1" customWidth="1"/>
    <col min="11042" max="11044" width="9.6640625" style="1" customWidth="1"/>
    <col min="11045" max="11252" width="11.44140625" style="1"/>
    <col min="11253" max="11257" width="24.44140625" style="1" customWidth="1"/>
    <col min="11258" max="11258" width="14" style="1" customWidth="1"/>
    <col min="11259" max="11259" width="12" style="1" bestFit="1" customWidth="1"/>
    <col min="11260" max="11263" width="9.109375" style="1" customWidth="1"/>
    <col min="11264" max="11264" width="16.109375" style="1" customWidth="1"/>
    <col min="11265" max="11266" width="9.109375" style="1" customWidth="1"/>
    <col min="11267" max="11269" width="16" style="1" customWidth="1"/>
    <col min="11270" max="11270" width="16.109375" style="1" customWidth="1"/>
    <col min="11271" max="11272" width="9.109375" style="1" customWidth="1"/>
    <col min="11273" max="11275" width="15.44140625" style="1" customWidth="1"/>
    <col min="11276" max="11276" width="16.109375" style="1" customWidth="1"/>
    <col min="11277" max="11277" width="17.109375" style="1" customWidth="1"/>
    <col min="11278" max="11278" width="19.6640625" style="1" customWidth="1"/>
    <col min="11279" max="11279" width="22.33203125" style="1" customWidth="1"/>
    <col min="11280" max="11280" width="23.33203125" style="1" customWidth="1"/>
    <col min="11281" max="11281" width="9.109375" style="1" customWidth="1"/>
    <col min="11282" max="11282" width="17.109375" style="1" customWidth="1"/>
    <col min="11283" max="11283" width="11.6640625" style="1" customWidth="1"/>
    <col min="11284" max="11284" width="22.44140625" style="1" customWidth="1"/>
    <col min="11285" max="11285" width="25" style="1" customWidth="1"/>
    <col min="11286" max="11286" width="25.88671875" style="1" customWidth="1"/>
    <col min="11287" max="11287" width="24.33203125" style="1" customWidth="1"/>
    <col min="11288" max="11288" width="26.88671875" style="1" customWidth="1"/>
    <col min="11289" max="11289" width="9.109375" style="1" customWidth="1"/>
    <col min="11290" max="11290" width="29.44140625" style="1" customWidth="1"/>
    <col min="11291" max="11291" width="17.109375" style="1" customWidth="1"/>
    <col min="11292" max="11292" width="9.109375" style="1" customWidth="1"/>
    <col min="11293" max="11293" width="26.88671875" style="1" customWidth="1"/>
    <col min="11294" max="11294" width="9.109375" style="1" customWidth="1"/>
    <col min="11295" max="11295" width="17.109375" style="1" customWidth="1"/>
    <col min="11296" max="11296" width="30.44140625" style="1" customWidth="1"/>
    <col min="11297" max="11297" width="33" style="1" customWidth="1"/>
    <col min="11298" max="11300" width="9.6640625" style="1" customWidth="1"/>
    <col min="11301" max="11508" width="11.44140625" style="1"/>
    <col min="11509" max="11513" width="24.44140625" style="1" customWidth="1"/>
    <col min="11514" max="11514" width="14" style="1" customWidth="1"/>
    <col min="11515" max="11515" width="12" style="1" bestFit="1" customWidth="1"/>
    <col min="11516" max="11519" width="9.109375" style="1" customWidth="1"/>
    <col min="11520" max="11520" width="16.109375" style="1" customWidth="1"/>
    <col min="11521" max="11522" width="9.109375" style="1" customWidth="1"/>
    <col min="11523" max="11525" width="16" style="1" customWidth="1"/>
    <col min="11526" max="11526" width="16.109375" style="1" customWidth="1"/>
    <col min="11527" max="11528" width="9.109375" style="1" customWidth="1"/>
    <col min="11529" max="11531" width="15.44140625" style="1" customWidth="1"/>
    <col min="11532" max="11532" width="16.109375" style="1" customWidth="1"/>
    <col min="11533" max="11533" width="17.109375" style="1" customWidth="1"/>
    <col min="11534" max="11534" width="19.6640625" style="1" customWidth="1"/>
    <col min="11535" max="11535" width="22.33203125" style="1" customWidth="1"/>
    <col min="11536" max="11536" width="23.33203125" style="1" customWidth="1"/>
    <col min="11537" max="11537" width="9.109375" style="1" customWidth="1"/>
    <col min="11538" max="11538" width="17.109375" style="1" customWidth="1"/>
    <col min="11539" max="11539" width="11.6640625" style="1" customWidth="1"/>
    <col min="11540" max="11540" width="22.44140625" style="1" customWidth="1"/>
    <col min="11541" max="11541" width="25" style="1" customWidth="1"/>
    <col min="11542" max="11542" width="25.88671875" style="1" customWidth="1"/>
    <col min="11543" max="11543" width="24.33203125" style="1" customWidth="1"/>
    <col min="11544" max="11544" width="26.88671875" style="1" customWidth="1"/>
    <col min="11545" max="11545" width="9.109375" style="1" customWidth="1"/>
    <col min="11546" max="11546" width="29.44140625" style="1" customWidth="1"/>
    <col min="11547" max="11547" width="17.109375" style="1" customWidth="1"/>
    <col min="11548" max="11548" width="9.109375" style="1" customWidth="1"/>
    <col min="11549" max="11549" width="26.88671875" style="1" customWidth="1"/>
    <col min="11550" max="11550" width="9.109375" style="1" customWidth="1"/>
    <col min="11551" max="11551" width="17.109375" style="1" customWidth="1"/>
    <col min="11552" max="11552" width="30.44140625" style="1" customWidth="1"/>
    <col min="11553" max="11553" width="33" style="1" customWidth="1"/>
    <col min="11554" max="11556" width="9.6640625" style="1" customWidth="1"/>
    <col min="11557" max="11764" width="11.44140625" style="1"/>
    <col min="11765" max="11769" width="24.44140625" style="1" customWidth="1"/>
    <col min="11770" max="11770" width="14" style="1" customWidth="1"/>
    <col min="11771" max="11771" width="12" style="1" bestFit="1" customWidth="1"/>
    <col min="11772" max="11775" width="9.109375" style="1" customWidth="1"/>
    <col min="11776" max="11776" width="16.109375" style="1" customWidth="1"/>
    <col min="11777" max="11778" width="9.109375" style="1" customWidth="1"/>
    <col min="11779" max="11781" width="16" style="1" customWidth="1"/>
    <col min="11782" max="11782" width="16.109375" style="1" customWidth="1"/>
    <col min="11783" max="11784" width="9.109375" style="1" customWidth="1"/>
    <col min="11785" max="11787" width="15.44140625" style="1" customWidth="1"/>
    <col min="11788" max="11788" width="16.109375" style="1" customWidth="1"/>
    <col min="11789" max="11789" width="17.109375" style="1" customWidth="1"/>
    <col min="11790" max="11790" width="19.6640625" style="1" customWidth="1"/>
    <col min="11791" max="11791" width="22.33203125" style="1" customWidth="1"/>
    <col min="11792" max="11792" width="23.33203125" style="1" customWidth="1"/>
    <col min="11793" max="11793" width="9.109375" style="1" customWidth="1"/>
    <col min="11794" max="11794" width="17.109375" style="1" customWidth="1"/>
    <col min="11795" max="11795" width="11.6640625" style="1" customWidth="1"/>
    <col min="11796" max="11796" width="22.44140625" style="1" customWidth="1"/>
    <col min="11797" max="11797" width="25" style="1" customWidth="1"/>
    <col min="11798" max="11798" width="25.88671875" style="1" customWidth="1"/>
    <col min="11799" max="11799" width="24.33203125" style="1" customWidth="1"/>
    <col min="11800" max="11800" width="26.88671875" style="1" customWidth="1"/>
    <col min="11801" max="11801" width="9.109375" style="1" customWidth="1"/>
    <col min="11802" max="11802" width="29.44140625" style="1" customWidth="1"/>
    <col min="11803" max="11803" width="17.109375" style="1" customWidth="1"/>
    <col min="11804" max="11804" width="9.109375" style="1" customWidth="1"/>
    <col min="11805" max="11805" width="26.88671875" style="1" customWidth="1"/>
    <col min="11806" max="11806" width="9.109375" style="1" customWidth="1"/>
    <col min="11807" max="11807" width="17.109375" style="1" customWidth="1"/>
    <col min="11808" max="11808" width="30.44140625" style="1" customWidth="1"/>
    <col min="11809" max="11809" width="33" style="1" customWidth="1"/>
    <col min="11810" max="11812" width="9.6640625" style="1" customWidth="1"/>
    <col min="11813" max="12020" width="11.44140625" style="1"/>
    <col min="12021" max="12025" width="24.44140625" style="1" customWidth="1"/>
    <col min="12026" max="12026" width="14" style="1" customWidth="1"/>
    <col min="12027" max="12027" width="12" style="1" bestFit="1" customWidth="1"/>
    <col min="12028" max="12031" width="9.109375" style="1" customWidth="1"/>
    <col min="12032" max="12032" width="16.109375" style="1" customWidth="1"/>
    <col min="12033" max="12034" width="9.109375" style="1" customWidth="1"/>
    <col min="12035" max="12037" width="16" style="1" customWidth="1"/>
    <col min="12038" max="12038" width="16.109375" style="1" customWidth="1"/>
    <col min="12039" max="12040" width="9.109375" style="1" customWidth="1"/>
    <col min="12041" max="12043" width="15.44140625" style="1" customWidth="1"/>
    <col min="12044" max="12044" width="16.109375" style="1" customWidth="1"/>
    <col min="12045" max="12045" width="17.109375" style="1" customWidth="1"/>
    <col min="12046" max="12046" width="19.6640625" style="1" customWidth="1"/>
    <col min="12047" max="12047" width="22.33203125" style="1" customWidth="1"/>
    <col min="12048" max="12048" width="23.33203125" style="1" customWidth="1"/>
    <col min="12049" max="12049" width="9.109375" style="1" customWidth="1"/>
    <col min="12050" max="12050" width="17.109375" style="1" customWidth="1"/>
    <col min="12051" max="12051" width="11.6640625" style="1" customWidth="1"/>
    <col min="12052" max="12052" width="22.44140625" style="1" customWidth="1"/>
    <col min="12053" max="12053" width="25" style="1" customWidth="1"/>
    <col min="12054" max="12054" width="25.88671875" style="1" customWidth="1"/>
    <col min="12055" max="12055" width="24.33203125" style="1" customWidth="1"/>
    <col min="12056" max="12056" width="26.88671875" style="1" customWidth="1"/>
    <col min="12057" max="12057" width="9.109375" style="1" customWidth="1"/>
    <col min="12058" max="12058" width="29.44140625" style="1" customWidth="1"/>
    <col min="12059" max="12059" width="17.109375" style="1" customWidth="1"/>
    <col min="12060" max="12060" width="9.109375" style="1" customWidth="1"/>
    <col min="12061" max="12061" width="26.88671875" style="1" customWidth="1"/>
    <col min="12062" max="12062" width="9.109375" style="1" customWidth="1"/>
    <col min="12063" max="12063" width="17.109375" style="1" customWidth="1"/>
    <col min="12064" max="12064" width="30.44140625" style="1" customWidth="1"/>
    <col min="12065" max="12065" width="33" style="1" customWidth="1"/>
    <col min="12066" max="12068" width="9.6640625" style="1" customWidth="1"/>
    <col min="12069" max="12276" width="11.44140625" style="1"/>
    <col min="12277" max="12281" width="24.44140625" style="1" customWidth="1"/>
    <col min="12282" max="12282" width="14" style="1" customWidth="1"/>
    <col min="12283" max="12283" width="12" style="1" bestFit="1" customWidth="1"/>
    <col min="12284" max="12287" width="9.109375" style="1" customWidth="1"/>
    <col min="12288" max="12288" width="16.109375" style="1" customWidth="1"/>
    <col min="12289" max="12290" width="9.109375" style="1" customWidth="1"/>
    <col min="12291" max="12293" width="16" style="1" customWidth="1"/>
    <col min="12294" max="12294" width="16.109375" style="1" customWidth="1"/>
    <col min="12295" max="12296" width="9.109375" style="1" customWidth="1"/>
    <col min="12297" max="12299" width="15.44140625" style="1" customWidth="1"/>
    <col min="12300" max="12300" width="16.109375" style="1" customWidth="1"/>
    <col min="12301" max="12301" width="17.109375" style="1" customWidth="1"/>
    <col min="12302" max="12302" width="19.6640625" style="1" customWidth="1"/>
    <col min="12303" max="12303" width="22.33203125" style="1" customWidth="1"/>
    <col min="12304" max="12304" width="23.33203125" style="1" customWidth="1"/>
    <col min="12305" max="12305" width="9.109375" style="1" customWidth="1"/>
    <col min="12306" max="12306" width="17.109375" style="1" customWidth="1"/>
    <col min="12307" max="12307" width="11.6640625" style="1" customWidth="1"/>
    <col min="12308" max="12308" width="22.44140625" style="1" customWidth="1"/>
    <col min="12309" max="12309" width="25" style="1" customWidth="1"/>
    <col min="12310" max="12310" width="25.88671875" style="1" customWidth="1"/>
    <col min="12311" max="12311" width="24.33203125" style="1" customWidth="1"/>
    <col min="12312" max="12312" width="26.88671875" style="1" customWidth="1"/>
    <col min="12313" max="12313" width="9.109375" style="1" customWidth="1"/>
    <col min="12314" max="12314" width="29.44140625" style="1" customWidth="1"/>
    <col min="12315" max="12315" width="17.109375" style="1" customWidth="1"/>
    <col min="12316" max="12316" width="9.109375" style="1" customWidth="1"/>
    <col min="12317" max="12317" width="26.88671875" style="1" customWidth="1"/>
    <col min="12318" max="12318" width="9.109375" style="1" customWidth="1"/>
    <col min="12319" max="12319" width="17.109375" style="1" customWidth="1"/>
    <col min="12320" max="12320" width="30.44140625" style="1" customWidth="1"/>
    <col min="12321" max="12321" width="33" style="1" customWidth="1"/>
    <col min="12322" max="12324" width="9.6640625" style="1" customWidth="1"/>
    <col min="12325" max="12532" width="11.44140625" style="1"/>
    <col min="12533" max="12537" width="24.44140625" style="1" customWidth="1"/>
    <col min="12538" max="12538" width="14" style="1" customWidth="1"/>
    <col min="12539" max="12539" width="12" style="1" bestFit="1" customWidth="1"/>
    <col min="12540" max="12543" width="9.109375" style="1" customWidth="1"/>
    <col min="12544" max="12544" width="16.109375" style="1" customWidth="1"/>
    <col min="12545" max="12546" width="9.109375" style="1" customWidth="1"/>
    <col min="12547" max="12549" width="16" style="1" customWidth="1"/>
    <col min="12550" max="12550" width="16.109375" style="1" customWidth="1"/>
    <col min="12551" max="12552" width="9.109375" style="1" customWidth="1"/>
    <col min="12553" max="12555" width="15.44140625" style="1" customWidth="1"/>
    <col min="12556" max="12556" width="16.109375" style="1" customWidth="1"/>
    <col min="12557" max="12557" width="17.109375" style="1" customWidth="1"/>
    <col min="12558" max="12558" width="19.6640625" style="1" customWidth="1"/>
    <col min="12559" max="12559" width="22.33203125" style="1" customWidth="1"/>
    <col min="12560" max="12560" width="23.33203125" style="1" customWidth="1"/>
    <col min="12561" max="12561" width="9.109375" style="1" customWidth="1"/>
    <col min="12562" max="12562" width="17.109375" style="1" customWidth="1"/>
    <col min="12563" max="12563" width="11.6640625" style="1" customWidth="1"/>
    <col min="12564" max="12564" width="22.44140625" style="1" customWidth="1"/>
    <col min="12565" max="12565" width="25" style="1" customWidth="1"/>
    <col min="12566" max="12566" width="25.88671875" style="1" customWidth="1"/>
    <col min="12567" max="12567" width="24.33203125" style="1" customWidth="1"/>
    <col min="12568" max="12568" width="26.88671875" style="1" customWidth="1"/>
    <col min="12569" max="12569" width="9.109375" style="1" customWidth="1"/>
    <col min="12570" max="12570" width="29.44140625" style="1" customWidth="1"/>
    <col min="12571" max="12571" width="17.109375" style="1" customWidth="1"/>
    <col min="12572" max="12572" width="9.109375" style="1" customWidth="1"/>
    <col min="12573" max="12573" width="26.88671875" style="1" customWidth="1"/>
    <col min="12574" max="12574" width="9.109375" style="1" customWidth="1"/>
    <col min="12575" max="12575" width="17.109375" style="1" customWidth="1"/>
    <col min="12576" max="12576" width="30.44140625" style="1" customWidth="1"/>
    <col min="12577" max="12577" width="33" style="1" customWidth="1"/>
    <col min="12578" max="12580" width="9.6640625" style="1" customWidth="1"/>
    <col min="12581" max="12788" width="11.44140625" style="1"/>
    <col min="12789" max="12793" width="24.44140625" style="1" customWidth="1"/>
    <col min="12794" max="12794" width="14" style="1" customWidth="1"/>
    <col min="12795" max="12795" width="12" style="1" bestFit="1" customWidth="1"/>
    <col min="12796" max="12799" width="9.109375" style="1" customWidth="1"/>
    <col min="12800" max="12800" width="16.109375" style="1" customWidth="1"/>
    <col min="12801" max="12802" width="9.109375" style="1" customWidth="1"/>
    <col min="12803" max="12805" width="16" style="1" customWidth="1"/>
    <col min="12806" max="12806" width="16.109375" style="1" customWidth="1"/>
    <col min="12807" max="12808" width="9.109375" style="1" customWidth="1"/>
    <col min="12809" max="12811" width="15.44140625" style="1" customWidth="1"/>
    <col min="12812" max="12812" width="16.109375" style="1" customWidth="1"/>
    <col min="12813" max="12813" width="17.109375" style="1" customWidth="1"/>
    <col min="12814" max="12814" width="19.6640625" style="1" customWidth="1"/>
    <col min="12815" max="12815" width="22.33203125" style="1" customWidth="1"/>
    <col min="12816" max="12816" width="23.33203125" style="1" customWidth="1"/>
    <col min="12817" max="12817" width="9.109375" style="1" customWidth="1"/>
    <col min="12818" max="12818" width="17.109375" style="1" customWidth="1"/>
    <col min="12819" max="12819" width="11.6640625" style="1" customWidth="1"/>
    <col min="12820" max="12820" width="22.44140625" style="1" customWidth="1"/>
    <col min="12821" max="12821" width="25" style="1" customWidth="1"/>
    <col min="12822" max="12822" width="25.88671875" style="1" customWidth="1"/>
    <col min="12823" max="12823" width="24.33203125" style="1" customWidth="1"/>
    <col min="12824" max="12824" width="26.88671875" style="1" customWidth="1"/>
    <col min="12825" max="12825" width="9.109375" style="1" customWidth="1"/>
    <col min="12826" max="12826" width="29.44140625" style="1" customWidth="1"/>
    <col min="12827" max="12827" width="17.109375" style="1" customWidth="1"/>
    <col min="12828" max="12828" width="9.109375" style="1" customWidth="1"/>
    <col min="12829" max="12829" width="26.88671875" style="1" customWidth="1"/>
    <col min="12830" max="12830" width="9.109375" style="1" customWidth="1"/>
    <col min="12831" max="12831" width="17.109375" style="1" customWidth="1"/>
    <col min="12832" max="12832" width="30.44140625" style="1" customWidth="1"/>
    <col min="12833" max="12833" width="33" style="1" customWidth="1"/>
    <col min="12834" max="12836" width="9.6640625" style="1" customWidth="1"/>
    <col min="12837" max="13044" width="11.44140625" style="1"/>
    <col min="13045" max="13049" width="24.44140625" style="1" customWidth="1"/>
    <col min="13050" max="13050" width="14" style="1" customWidth="1"/>
    <col min="13051" max="13051" width="12" style="1" bestFit="1" customWidth="1"/>
    <col min="13052" max="13055" width="9.109375" style="1" customWidth="1"/>
    <col min="13056" max="13056" width="16.109375" style="1" customWidth="1"/>
    <col min="13057" max="13058" width="9.109375" style="1" customWidth="1"/>
    <col min="13059" max="13061" width="16" style="1" customWidth="1"/>
    <col min="13062" max="13062" width="16.109375" style="1" customWidth="1"/>
    <col min="13063" max="13064" width="9.109375" style="1" customWidth="1"/>
    <col min="13065" max="13067" width="15.44140625" style="1" customWidth="1"/>
    <col min="13068" max="13068" width="16.109375" style="1" customWidth="1"/>
    <col min="13069" max="13069" width="17.109375" style="1" customWidth="1"/>
    <col min="13070" max="13070" width="19.6640625" style="1" customWidth="1"/>
    <col min="13071" max="13071" width="22.33203125" style="1" customWidth="1"/>
    <col min="13072" max="13072" width="23.33203125" style="1" customWidth="1"/>
    <col min="13073" max="13073" width="9.109375" style="1" customWidth="1"/>
    <col min="13074" max="13074" width="17.109375" style="1" customWidth="1"/>
    <col min="13075" max="13075" width="11.6640625" style="1" customWidth="1"/>
    <col min="13076" max="13076" width="22.44140625" style="1" customWidth="1"/>
    <col min="13077" max="13077" width="25" style="1" customWidth="1"/>
    <col min="13078" max="13078" width="25.88671875" style="1" customWidth="1"/>
    <col min="13079" max="13079" width="24.33203125" style="1" customWidth="1"/>
    <col min="13080" max="13080" width="26.88671875" style="1" customWidth="1"/>
    <col min="13081" max="13081" width="9.109375" style="1" customWidth="1"/>
    <col min="13082" max="13082" width="29.44140625" style="1" customWidth="1"/>
    <col min="13083" max="13083" width="17.109375" style="1" customWidth="1"/>
    <col min="13084" max="13084" width="9.109375" style="1" customWidth="1"/>
    <col min="13085" max="13085" width="26.88671875" style="1" customWidth="1"/>
    <col min="13086" max="13086" width="9.109375" style="1" customWidth="1"/>
    <col min="13087" max="13087" width="17.109375" style="1" customWidth="1"/>
    <col min="13088" max="13088" width="30.44140625" style="1" customWidth="1"/>
    <col min="13089" max="13089" width="33" style="1" customWidth="1"/>
    <col min="13090" max="13092" width="9.6640625" style="1" customWidth="1"/>
    <col min="13093" max="13300" width="11.44140625" style="1"/>
    <col min="13301" max="13305" width="24.44140625" style="1" customWidth="1"/>
    <col min="13306" max="13306" width="14" style="1" customWidth="1"/>
    <col min="13307" max="13307" width="12" style="1" bestFit="1" customWidth="1"/>
    <col min="13308" max="13311" width="9.109375" style="1" customWidth="1"/>
    <col min="13312" max="13312" width="16.109375" style="1" customWidth="1"/>
    <col min="13313" max="13314" width="9.109375" style="1" customWidth="1"/>
    <col min="13315" max="13317" width="16" style="1" customWidth="1"/>
    <col min="13318" max="13318" width="16.109375" style="1" customWidth="1"/>
    <col min="13319" max="13320" width="9.109375" style="1" customWidth="1"/>
    <col min="13321" max="13323" width="15.44140625" style="1" customWidth="1"/>
    <col min="13324" max="13324" width="16.109375" style="1" customWidth="1"/>
    <col min="13325" max="13325" width="17.109375" style="1" customWidth="1"/>
    <col min="13326" max="13326" width="19.6640625" style="1" customWidth="1"/>
    <col min="13327" max="13327" width="22.33203125" style="1" customWidth="1"/>
    <col min="13328" max="13328" width="23.33203125" style="1" customWidth="1"/>
    <col min="13329" max="13329" width="9.109375" style="1" customWidth="1"/>
    <col min="13330" max="13330" width="17.109375" style="1" customWidth="1"/>
    <col min="13331" max="13331" width="11.6640625" style="1" customWidth="1"/>
    <col min="13332" max="13332" width="22.44140625" style="1" customWidth="1"/>
    <col min="13333" max="13333" width="25" style="1" customWidth="1"/>
    <col min="13334" max="13334" width="25.88671875" style="1" customWidth="1"/>
    <col min="13335" max="13335" width="24.33203125" style="1" customWidth="1"/>
    <col min="13336" max="13336" width="26.88671875" style="1" customWidth="1"/>
    <col min="13337" max="13337" width="9.109375" style="1" customWidth="1"/>
    <col min="13338" max="13338" width="29.44140625" style="1" customWidth="1"/>
    <col min="13339" max="13339" width="17.109375" style="1" customWidth="1"/>
    <col min="13340" max="13340" width="9.109375" style="1" customWidth="1"/>
    <col min="13341" max="13341" width="26.88671875" style="1" customWidth="1"/>
    <col min="13342" max="13342" width="9.109375" style="1" customWidth="1"/>
    <col min="13343" max="13343" width="17.109375" style="1" customWidth="1"/>
    <col min="13344" max="13344" width="30.44140625" style="1" customWidth="1"/>
    <col min="13345" max="13345" width="33" style="1" customWidth="1"/>
    <col min="13346" max="13348" width="9.6640625" style="1" customWidth="1"/>
    <col min="13349" max="13556" width="11.44140625" style="1"/>
    <col min="13557" max="13561" width="24.44140625" style="1" customWidth="1"/>
    <col min="13562" max="13562" width="14" style="1" customWidth="1"/>
    <col min="13563" max="13563" width="12" style="1" bestFit="1" customWidth="1"/>
    <col min="13564" max="13567" width="9.109375" style="1" customWidth="1"/>
    <col min="13568" max="13568" width="16.109375" style="1" customWidth="1"/>
    <col min="13569" max="13570" width="9.109375" style="1" customWidth="1"/>
    <col min="13571" max="13573" width="16" style="1" customWidth="1"/>
    <col min="13574" max="13574" width="16.109375" style="1" customWidth="1"/>
    <col min="13575" max="13576" width="9.109375" style="1" customWidth="1"/>
    <col min="13577" max="13579" width="15.44140625" style="1" customWidth="1"/>
    <col min="13580" max="13580" width="16.109375" style="1" customWidth="1"/>
    <col min="13581" max="13581" width="17.109375" style="1" customWidth="1"/>
    <col min="13582" max="13582" width="19.6640625" style="1" customWidth="1"/>
    <col min="13583" max="13583" width="22.33203125" style="1" customWidth="1"/>
    <col min="13584" max="13584" width="23.33203125" style="1" customWidth="1"/>
    <col min="13585" max="13585" width="9.109375" style="1" customWidth="1"/>
    <col min="13586" max="13586" width="17.109375" style="1" customWidth="1"/>
    <col min="13587" max="13587" width="11.6640625" style="1" customWidth="1"/>
    <col min="13588" max="13588" width="22.44140625" style="1" customWidth="1"/>
    <col min="13589" max="13589" width="25" style="1" customWidth="1"/>
    <col min="13590" max="13590" width="25.88671875" style="1" customWidth="1"/>
    <col min="13591" max="13591" width="24.33203125" style="1" customWidth="1"/>
    <col min="13592" max="13592" width="26.88671875" style="1" customWidth="1"/>
    <col min="13593" max="13593" width="9.109375" style="1" customWidth="1"/>
    <col min="13594" max="13594" width="29.44140625" style="1" customWidth="1"/>
    <col min="13595" max="13595" width="17.109375" style="1" customWidth="1"/>
    <col min="13596" max="13596" width="9.109375" style="1" customWidth="1"/>
    <col min="13597" max="13597" width="26.88671875" style="1" customWidth="1"/>
    <col min="13598" max="13598" width="9.109375" style="1" customWidth="1"/>
    <col min="13599" max="13599" width="17.109375" style="1" customWidth="1"/>
    <col min="13600" max="13600" width="30.44140625" style="1" customWidth="1"/>
    <col min="13601" max="13601" width="33" style="1" customWidth="1"/>
    <col min="13602" max="13604" width="9.6640625" style="1" customWidth="1"/>
    <col min="13605" max="13812" width="11.44140625" style="1"/>
    <col min="13813" max="13817" width="24.44140625" style="1" customWidth="1"/>
    <col min="13818" max="13818" width="14" style="1" customWidth="1"/>
    <col min="13819" max="13819" width="12" style="1" bestFit="1" customWidth="1"/>
    <col min="13820" max="13823" width="9.109375" style="1" customWidth="1"/>
    <col min="13824" max="13824" width="16.109375" style="1" customWidth="1"/>
    <col min="13825" max="13826" width="9.109375" style="1" customWidth="1"/>
    <col min="13827" max="13829" width="16" style="1" customWidth="1"/>
    <col min="13830" max="13830" width="16.109375" style="1" customWidth="1"/>
    <col min="13831" max="13832" width="9.109375" style="1" customWidth="1"/>
    <col min="13833" max="13835" width="15.44140625" style="1" customWidth="1"/>
    <col min="13836" max="13836" width="16.109375" style="1" customWidth="1"/>
    <col min="13837" max="13837" width="17.109375" style="1" customWidth="1"/>
    <col min="13838" max="13838" width="19.6640625" style="1" customWidth="1"/>
    <col min="13839" max="13839" width="22.33203125" style="1" customWidth="1"/>
    <col min="13840" max="13840" width="23.33203125" style="1" customWidth="1"/>
    <col min="13841" max="13841" width="9.109375" style="1" customWidth="1"/>
    <col min="13842" max="13842" width="17.109375" style="1" customWidth="1"/>
    <col min="13843" max="13843" width="11.6640625" style="1" customWidth="1"/>
    <col min="13844" max="13844" width="22.44140625" style="1" customWidth="1"/>
    <col min="13845" max="13845" width="25" style="1" customWidth="1"/>
    <col min="13846" max="13846" width="25.88671875" style="1" customWidth="1"/>
    <col min="13847" max="13847" width="24.33203125" style="1" customWidth="1"/>
    <col min="13848" max="13848" width="26.88671875" style="1" customWidth="1"/>
    <col min="13849" max="13849" width="9.109375" style="1" customWidth="1"/>
    <col min="13850" max="13850" width="29.44140625" style="1" customWidth="1"/>
    <col min="13851" max="13851" width="17.109375" style="1" customWidth="1"/>
    <col min="13852" max="13852" width="9.109375" style="1" customWidth="1"/>
    <col min="13853" max="13853" width="26.88671875" style="1" customWidth="1"/>
    <col min="13854" max="13854" width="9.109375" style="1" customWidth="1"/>
    <col min="13855" max="13855" width="17.109375" style="1" customWidth="1"/>
    <col min="13856" max="13856" width="30.44140625" style="1" customWidth="1"/>
    <col min="13857" max="13857" width="33" style="1" customWidth="1"/>
    <col min="13858" max="13860" width="9.6640625" style="1" customWidth="1"/>
    <col min="13861" max="14068" width="11.44140625" style="1"/>
    <col min="14069" max="14073" width="24.44140625" style="1" customWidth="1"/>
    <col min="14074" max="14074" width="14" style="1" customWidth="1"/>
    <col min="14075" max="14075" width="12" style="1" bestFit="1" customWidth="1"/>
    <col min="14076" max="14079" width="9.109375" style="1" customWidth="1"/>
    <col min="14080" max="14080" width="16.109375" style="1" customWidth="1"/>
    <col min="14081" max="14082" width="9.109375" style="1" customWidth="1"/>
    <col min="14083" max="14085" width="16" style="1" customWidth="1"/>
    <col min="14086" max="14086" width="16.109375" style="1" customWidth="1"/>
    <col min="14087" max="14088" width="9.109375" style="1" customWidth="1"/>
    <col min="14089" max="14091" width="15.44140625" style="1" customWidth="1"/>
    <col min="14092" max="14092" width="16.109375" style="1" customWidth="1"/>
    <col min="14093" max="14093" width="17.109375" style="1" customWidth="1"/>
    <col min="14094" max="14094" width="19.6640625" style="1" customWidth="1"/>
    <col min="14095" max="14095" width="22.33203125" style="1" customWidth="1"/>
    <col min="14096" max="14096" width="23.33203125" style="1" customWidth="1"/>
    <col min="14097" max="14097" width="9.109375" style="1" customWidth="1"/>
    <col min="14098" max="14098" width="17.109375" style="1" customWidth="1"/>
    <col min="14099" max="14099" width="11.6640625" style="1" customWidth="1"/>
    <col min="14100" max="14100" width="22.44140625" style="1" customWidth="1"/>
    <col min="14101" max="14101" width="25" style="1" customWidth="1"/>
    <col min="14102" max="14102" width="25.88671875" style="1" customWidth="1"/>
    <col min="14103" max="14103" width="24.33203125" style="1" customWidth="1"/>
    <col min="14104" max="14104" width="26.88671875" style="1" customWidth="1"/>
    <col min="14105" max="14105" width="9.109375" style="1" customWidth="1"/>
    <col min="14106" max="14106" width="29.44140625" style="1" customWidth="1"/>
    <col min="14107" max="14107" width="17.109375" style="1" customWidth="1"/>
    <col min="14108" max="14108" width="9.109375" style="1" customWidth="1"/>
    <col min="14109" max="14109" width="26.88671875" style="1" customWidth="1"/>
    <col min="14110" max="14110" width="9.109375" style="1" customWidth="1"/>
    <col min="14111" max="14111" width="17.109375" style="1" customWidth="1"/>
    <col min="14112" max="14112" width="30.44140625" style="1" customWidth="1"/>
    <col min="14113" max="14113" width="33" style="1" customWidth="1"/>
    <col min="14114" max="14116" width="9.6640625" style="1" customWidth="1"/>
    <col min="14117" max="14324" width="11.44140625" style="1"/>
    <col min="14325" max="14329" width="24.44140625" style="1" customWidth="1"/>
    <col min="14330" max="14330" width="14" style="1" customWidth="1"/>
    <col min="14331" max="14331" width="12" style="1" bestFit="1" customWidth="1"/>
    <col min="14332" max="14335" width="9.109375" style="1" customWidth="1"/>
    <col min="14336" max="14336" width="16.109375" style="1" customWidth="1"/>
    <col min="14337" max="14338" width="9.109375" style="1" customWidth="1"/>
    <col min="14339" max="14341" width="16" style="1" customWidth="1"/>
    <col min="14342" max="14342" width="16.109375" style="1" customWidth="1"/>
    <col min="14343" max="14344" width="9.109375" style="1" customWidth="1"/>
    <col min="14345" max="14347" width="15.44140625" style="1" customWidth="1"/>
    <col min="14348" max="14348" width="16.109375" style="1" customWidth="1"/>
    <col min="14349" max="14349" width="17.109375" style="1" customWidth="1"/>
    <col min="14350" max="14350" width="19.6640625" style="1" customWidth="1"/>
    <col min="14351" max="14351" width="22.33203125" style="1" customWidth="1"/>
    <col min="14352" max="14352" width="23.33203125" style="1" customWidth="1"/>
    <col min="14353" max="14353" width="9.109375" style="1" customWidth="1"/>
    <col min="14354" max="14354" width="17.109375" style="1" customWidth="1"/>
    <col min="14355" max="14355" width="11.6640625" style="1" customWidth="1"/>
    <col min="14356" max="14356" width="22.44140625" style="1" customWidth="1"/>
    <col min="14357" max="14357" width="25" style="1" customWidth="1"/>
    <col min="14358" max="14358" width="25.88671875" style="1" customWidth="1"/>
    <col min="14359" max="14359" width="24.33203125" style="1" customWidth="1"/>
    <col min="14360" max="14360" width="26.88671875" style="1" customWidth="1"/>
    <col min="14361" max="14361" width="9.109375" style="1" customWidth="1"/>
    <col min="14362" max="14362" width="29.44140625" style="1" customWidth="1"/>
    <col min="14363" max="14363" width="17.109375" style="1" customWidth="1"/>
    <col min="14364" max="14364" width="9.109375" style="1" customWidth="1"/>
    <col min="14365" max="14365" width="26.88671875" style="1" customWidth="1"/>
    <col min="14366" max="14366" width="9.109375" style="1" customWidth="1"/>
    <col min="14367" max="14367" width="17.109375" style="1" customWidth="1"/>
    <col min="14368" max="14368" width="30.44140625" style="1" customWidth="1"/>
    <col min="14369" max="14369" width="33" style="1" customWidth="1"/>
    <col min="14370" max="14372" width="9.6640625" style="1" customWidth="1"/>
    <col min="14373" max="14580" width="11.44140625" style="1"/>
    <col min="14581" max="14585" width="24.44140625" style="1" customWidth="1"/>
    <col min="14586" max="14586" width="14" style="1" customWidth="1"/>
    <col min="14587" max="14587" width="12" style="1" bestFit="1" customWidth="1"/>
    <col min="14588" max="14591" width="9.109375" style="1" customWidth="1"/>
    <col min="14592" max="14592" width="16.109375" style="1" customWidth="1"/>
    <col min="14593" max="14594" width="9.109375" style="1" customWidth="1"/>
    <col min="14595" max="14597" width="16" style="1" customWidth="1"/>
    <col min="14598" max="14598" width="16.109375" style="1" customWidth="1"/>
    <col min="14599" max="14600" width="9.109375" style="1" customWidth="1"/>
    <col min="14601" max="14603" width="15.44140625" style="1" customWidth="1"/>
    <col min="14604" max="14604" width="16.109375" style="1" customWidth="1"/>
    <col min="14605" max="14605" width="17.109375" style="1" customWidth="1"/>
    <col min="14606" max="14606" width="19.6640625" style="1" customWidth="1"/>
    <col min="14607" max="14607" width="22.33203125" style="1" customWidth="1"/>
    <col min="14608" max="14608" width="23.33203125" style="1" customWidth="1"/>
    <col min="14609" max="14609" width="9.109375" style="1" customWidth="1"/>
    <col min="14610" max="14610" width="17.109375" style="1" customWidth="1"/>
    <col min="14611" max="14611" width="11.6640625" style="1" customWidth="1"/>
    <col min="14612" max="14612" width="22.44140625" style="1" customWidth="1"/>
    <col min="14613" max="14613" width="25" style="1" customWidth="1"/>
    <col min="14614" max="14614" width="25.88671875" style="1" customWidth="1"/>
    <col min="14615" max="14615" width="24.33203125" style="1" customWidth="1"/>
    <col min="14616" max="14616" width="26.88671875" style="1" customWidth="1"/>
    <col min="14617" max="14617" width="9.109375" style="1" customWidth="1"/>
    <col min="14618" max="14618" width="29.44140625" style="1" customWidth="1"/>
    <col min="14619" max="14619" width="17.109375" style="1" customWidth="1"/>
    <col min="14620" max="14620" width="9.109375" style="1" customWidth="1"/>
    <col min="14621" max="14621" width="26.88671875" style="1" customWidth="1"/>
    <col min="14622" max="14622" width="9.109375" style="1" customWidth="1"/>
    <col min="14623" max="14623" width="17.109375" style="1" customWidth="1"/>
    <col min="14624" max="14624" width="30.44140625" style="1" customWidth="1"/>
    <col min="14625" max="14625" width="33" style="1" customWidth="1"/>
    <col min="14626" max="14628" width="9.6640625" style="1" customWidth="1"/>
    <col min="14629" max="14836" width="11.44140625" style="1"/>
    <col min="14837" max="14841" width="24.44140625" style="1" customWidth="1"/>
    <col min="14842" max="14842" width="14" style="1" customWidth="1"/>
    <col min="14843" max="14843" width="12" style="1" bestFit="1" customWidth="1"/>
    <col min="14844" max="14847" width="9.109375" style="1" customWidth="1"/>
    <col min="14848" max="14848" width="16.109375" style="1" customWidth="1"/>
    <col min="14849" max="14850" width="9.109375" style="1" customWidth="1"/>
    <col min="14851" max="14853" width="16" style="1" customWidth="1"/>
    <col min="14854" max="14854" width="16.109375" style="1" customWidth="1"/>
    <col min="14855" max="14856" width="9.109375" style="1" customWidth="1"/>
    <col min="14857" max="14859" width="15.44140625" style="1" customWidth="1"/>
    <col min="14860" max="14860" width="16.109375" style="1" customWidth="1"/>
    <col min="14861" max="14861" width="17.109375" style="1" customWidth="1"/>
    <col min="14862" max="14862" width="19.6640625" style="1" customWidth="1"/>
    <col min="14863" max="14863" width="22.33203125" style="1" customWidth="1"/>
    <col min="14864" max="14864" width="23.33203125" style="1" customWidth="1"/>
    <col min="14865" max="14865" width="9.109375" style="1" customWidth="1"/>
    <col min="14866" max="14866" width="17.109375" style="1" customWidth="1"/>
    <col min="14867" max="14867" width="11.6640625" style="1" customWidth="1"/>
    <col min="14868" max="14868" width="22.44140625" style="1" customWidth="1"/>
    <col min="14869" max="14869" width="25" style="1" customWidth="1"/>
    <col min="14870" max="14870" width="25.88671875" style="1" customWidth="1"/>
    <col min="14871" max="14871" width="24.33203125" style="1" customWidth="1"/>
    <col min="14872" max="14872" width="26.88671875" style="1" customWidth="1"/>
    <col min="14873" max="14873" width="9.109375" style="1" customWidth="1"/>
    <col min="14874" max="14874" width="29.44140625" style="1" customWidth="1"/>
    <col min="14875" max="14875" width="17.109375" style="1" customWidth="1"/>
    <col min="14876" max="14876" width="9.109375" style="1" customWidth="1"/>
    <col min="14877" max="14877" width="26.88671875" style="1" customWidth="1"/>
    <col min="14878" max="14878" width="9.109375" style="1" customWidth="1"/>
    <col min="14879" max="14879" width="17.109375" style="1" customWidth="1"/>
    <col min="14880" max="14880" width="30.44140625" style="1" customWidth="1"/>
    <col min="14881" max="14881" width="33" style="1" customWidth="1"/>
    <col min="14882" max="14884" width="9.6640625" style="1" customWidth="1"/>
    <col min="14885" max="15092" width="11.44140625" style="1"/>
    <col min="15093" max="15097" width="24.44140625" style="1" customWidth="1"/>
    <col min="15098" max="15098" width="14" style="1" customWidth="1"/>
    <col min="15099" max="15099" width="12" style="1" bestFit="1" customWidth="1"/>
    <col min="15100" max="15103" width="9.109375" style="1" customWidth="1"/>
    <col min="15104" max="15104" width="16.109375" style="1" customWidth="1"/>
    <col min="15105" max="15106" width="9.109375" style="1" customWidth="1"/>
    <col min="15107" max="15109" width="16" style="1" customWidth="1"/>
    <col min="15110" max="15110" width="16.109375" style="1" customWidth="1"/>
    <col min="15111" max="15112" width="9.109375" style="1" customWidth="1"/>
    <col min="15113" max="15115" width="15.44140625" style="1" customWidth="1"/>
    <col min="15116" max="15116" width="16.109375" style="1" customWidth="1"/>
    <col min="15117" max="15117" width="17.109375" style="1" customWidth="1"/>
    <col min="15118" max="15118" width="19.6640625" style="1" customWidth="1"/>
    <col min="15119" max="15119" width="22.33203125" style="1" customWidth="1"/>
    <col min="15120" max="15120" width="23.33203125" style="1" customWidth="1"/>
    <col min="15121" max="15121" width="9.109375" style="1" customWidth="1"/>
    <col min="15122" max="15122" width="17.109375" style="1" customWidth="1"/>
    <col min="15123" max="15123" width="11.6640625" style="1" customWidth="1"/>
    <col min="15124" max="15124" width="22.44140625" style="1" customWidth="1"/>
    <col min="15125" max="15125" width="25" style="1" customWidth="1"/>
    <col min="15126" max="15126" width="25.88671875" style="1" customWidth="1"/>
    <col min="15127" max="15127" width="24.33203125" style="1" customWidth="1"/>
    <col min="15128" max="15128" width="26.88671875" style="1" customWidth="1"/>
    <col min="15129" max="15129" width="9.109375" style="1" customWidth="1"/>
    <col min="15130" max="15130" width="29.44140625" style="1" customWidth="1"/>
    <col min="15131" max="15131" width="17.109375" style="1" customWidth="1"/>
    <col min="15132" max="15132" width="9.109375" style="1" customWidth="1"/>
    <col min="15133" max="15133" width="26.88671875" style="1" customWidth="1"/>
    <col min="15134" max="15134" width="9.109375" style="1" customWidth="1"/>
    <col min="15135" max="15135" width="17.109375" style="1" customWidth="1"/>
    <col min="15136" max="15136" width="30.44140625" style="1" customWidth="1"/>
    <col min="15137" max="15137" width="33" style="1" customWidth="1"/>
    <col min="15138" max="15140" width="9.6640625" style="1" customWidth="1"/>
    <col min="15141" max="15348" width="11.44140625" style="1"/>
    <col min="15349" max="15353" width="24.44140625" style="1" customWidth="1"/>
    <col min="15354" max="15354" width="14" style="1" customWidth="1"/>
    <col min="15355" max="15355" width="12" style="1" bestFit="1" customWidth="1"/>
    <col min="15356" max="15359" width="9.109375" style="1" customWidth="1"/>
    <col min="15360" max="15360" width="16.109375" style="1" customWidth="1"/>
    <col min="15361" max="15362" width="9.109375" style="1" customWidth="1"/>
    <col min="15363" max="15365" width="16" style="1" customWidth="1"/>
    <col min="15366" max="15366" width="16.109375" style="1" customWidth="1"/>
    <col min="15367" max="15368" width="9.109375" style="1" customWidth="1"/>
    <col min="15369" max="15371" width="15.44140625" style="1" customWidth="1"/>
    <col min="15372" max="15372" width="16.109375" style="1" customWidth="1"/>
    <col min="15373" max="15373" width="17.109375" style="1" customWidth="1"/>
    <col min="15374" max="15374" width="19.6640625" style="1" customWidth="1"/>
    <col min="15375" max="15375" width="22.33203125" style="1" customWidth="1"/>
    <col min="15376" max="15376" width="23.33203125" style="1" customWidth="1"/>
    <col min="15377" max="15377" width="9.109375" style="1" customWidth="1"/>
    <col min="15378" max="15378" width="17.109375" style="1" customWidth="1"/>
    <col min="15379" max="15379" width="11.6640625" style="1" customWidth="1"/>
    <col min="15380" max="15380" width="22.44140625" style="1" customWidth="1"/>
    <col min="15381" max="15381" width="25" style="1" customWidth="1"/>
    <col min="15382" max="15382" width="25.88671875" style="1" customWidth="1"/>
    <col min="15383" max="15383" width="24.33203125" style="1" customWidth="1"/>
    <col min="15384" max="15384" width="26.88671875" style="1" customWidth="1"/>
    <col min="15385" max="15385" width="9.109375" style="1" customWidth="1"/>
    <col min="15386" max="15386" width="29.44140625" style="1" customWidth="1"/>
    <col min="15387" max="15387" width="17.109375" style="1" customWidth="1"/>
    <col min="15388" max="15388" width="9.109375" style="1" customWidth="1"/>
    <col min="15389" max="15389" width="26.88671875" style="1" customWidth="1"/>
    <col min="15390" max="15390" width="9.109375" style="1" customWidth="1"/>
    <col min="15391" max="15391" width="17.109375" style="1" customWidth="1"/>
    <col min="15392" max="15392" width="30.44140625" style="1" customWidth="1"/>
    <col min="15393" max="15393" width="33" style="1" customWidth="1"/>
    <col min="15394" max="15396" width="9.6640625" style="1" customWidth="1"/>
    <col min="15397" max="15604" width="11.44140625" style="1"/>
    <col min="15605" max="15609" width="24.44140625" style="1" customWidth="1"/>
    <col min="15610" max="15610" width="14" style="1" customWidth="1"/>
    <col min="15611" max="15611" width="12" style="1" bestFit="1" customWidth="1"/>
    <col min="15612" max="15615" width="9.109375" style="1" customWidth="1"/>
    <col min="15616" max="15616" width="16.109375" style="1" customWidth="1"/>
    <col min="15617" max="15618" width="9.109375" style="1" customWidth="1"/>
    <col min="15619" max="15621" width="16" style="1" customWidth="1"/>
    <col min="15622" max="15622" width="16.109375" style="1" customWidth="1"/>
    <col min="15623" max="15624" width="9.109375" style="1" customWidth="1"/>
    <col min="15625" max="15627" width="15.44140625" style="1" customWidth="1"/>
    <col min="15628" max="15628" width="16.109375" style="1" customWidth="1"/>
    <col min="15629" max="15629" width="17.109375" style="1" customWidth="1"/>
    <col min="15630" max="15630" width="19.6640625" style="1" customWidth="1"/>
    <col min="15631" max="15631" width="22.33203125" style="1" customWidth="1"/>
    <col min="15632" max="15632" width="23.33203125" style="1" customWidth="1"/>
    <col min="15633" max="15633" width="9.109375" style="1" customWidth="1"/>
    <col min="15634" max="15634" width="17.109375" style="1" customWidth="1"/>
    <col min="15635" max="15635" width="11.6640625" style="1" customWidth="1"/>
    <col min="15636" max="15636" width="22.44140625" style="1" customWidth="1"/>
    <col min="15637" max="15637" width="25" style="1" customWidth="1"/>
    <col min="15638" max="15638" width="25.88671875" style="1" customWidth="1"/>
    <col min="15639" max="15639" width="24.33203125" style="1" customWidth="1"/>
    <col min="15640" max="15640" width="26.88671875" style="1" customWidth="1"/>
    <col min="15641" max="15641" width="9.109375" style="1" customWidth="1"/>
    <col min="15642" max="15642" width="29.44140625" style="1" customWidth="1"/>
    <col min="15643" max="15643" width="17.109375" style="1" customWidth="1"/>
    <col min="15644" max="15644" width="9.109375" style="1" customWidth="1"/>
    <col min="15645" max="15645" width="26.88671875" style="1" customWidth="1"/>
    <col min="15646" max="15646" width="9.109375" style="1" customWidth="1"/>
    <col min="15647" max="15647" width="17.109375" style="1" customWidth="1"/>
    <col min="15648" max="15648" width="30.44140625" style="1" customWidth="1"/>
    <col min="15649" max="15649" width="33" style="1" customWidth="1"/>
    <col min="15650" max="15652" width="9.6640625" style="1" customWidth="1"/>
    <col min="15653" max="15860" width="11.44140625" style="1"/>
    <col min="15861" max="15865" width="24.44140625" style="1" customWidth="1"/>
    <col min="15866" max="15866" width="14" style="1" customWidth="1"/>
    <col min="15867" max="15867" width="12" style="1" bestFit="1" customWidth="1"/>
    <col min="15868" max="15871" width="9.109375" style="1" customWidth="1"/>
    <col min="15872" max="15872" width="16.109375" style="1" customWidth="1"/>
    <col min="15873" max="15874" width="9.109375" style="1" customWidth="1"/>
    <col min="15875" max="15877" width="16" style="1" customWidth="1"/>
    <col min="15878" max="15878" width="16.109375" style="1" customWidth="1"/>
    <col min="15879" max="15880" width="9.109375" style="1" customWidth="1"/>
    <col min="15881" max="15883" width="15.44140625" style="1" customWidth="1"/>
    <col min="15884" max="15884" width="16.109375" style="1" customWidth="1"/>
    <col min="15885" max="15885" width="17.109375" style="1" customWidth="1"/>
    <col min="15886" max="15886" width="19.6640625" style="1" customWidth="1"/>
    <col min="15887" max="15887" width="22.33203125" style="1" customWidth="1"/>
    <col min="15888" max="15888" width="23.33203125" style="1" customWidth="1"/>
    <col min="15889" max="15889" width="9.109375" style="1" customWidth="1"/>
    <col min="15890" max="15890" width="17.109375" style="1" customWidth="1"/>
    <col min="15891" max="15891" width="11.6640625" style="1" customWidth="1"/>
    <col min="15892" max="15892" width="22.44140625" style="1" customWidth="1"/>
    <col min="15893" max="15893" width="25" style="1" customWidth="1"/>
    <col min="15894" max="15894" width="25.88671875" style="1" customWidth="1"/>
    <col min="15895" max="15895" width="24.33203125" style="1" customWidth="1"/>
    <col min="15896" max="15896" width="26.88671875" style="1" customWidth="1"/>
    <col min="15897" max="15897" width="9.109375" style="1" customWidth="1"/>
    <col min="15898" max="15898" width="29.44140625" style="1" customWidth="1"/>
    <col min="15899" max="15899" width="17.109375" style="1" customWidth="1"/>
    <col min="15900" max="15900" width="9.109375" style="1" customWidth="1"/>
    <col min="15901" max="15901" width="26.88671875" style="1" customWidth="1"/>
    <col min="15902" max="15902" width="9.109375" style="1" customWidth="1"/>
    <col min="15903" max="15903" width="17.109375" style="1" customWidth="1"/>
    <col min="15904" max="15904" width="30.44140625" style="1" customWidth="1"/>
    <col min="15905" max="15905" width="33" style="1" customWidth="1"/>
    <col min="15906" max="15908" width="9.6640625" style="1" customWidth="1"/>
    <col min="15909" max="16116" width="11.44140625" style="1"/>
    <col min="16117" max="16121" width="24.44140625" style="1" customWidth="1"/>
    <col min="16122" max="16122" width="14" style="1" customWidth="1"/>
    <col min="16123" max="16123" width="12" style="1" bestFit="1" customWidth="1"/>
    <col min="16124" max="16127" width="9.109375" style="1" customWidth="1"/>
    <col min="16128" max="16128" width="16.109375" style="1" customWidth="1"/>
    <col min="16129" max="16130" width="9.109375" style="1" customWidth="1"/>
    <col min="16131" max="16133" width="16" style="1" customWidth="1"/>
    <col min="16134" max="16134" width="16.109375" style="1" customWidth="1"/>
    <col min="16135" max="16136" width="9.109375" style="1" customWidth="1"/>
    <col min="16137" max="16139" width="15.44140625" style="1" customWidth="1"/>
    <col min="16140" max="16140" width="16.109375" style="1" customWidth="1"/>
    <col min="16141" max="16141" width="17.109375" style="1" customWidth="1"/>
    <col min="16142" max="16142" width="19.6640625" style="1" customWidth="1"/>
    <col min="16143" max="16143" width="22.33203125" style="1" customWidth="1"/>
    <col min="16144" max="16144" width="23.33203125" style="1" customWidth="1"/>
    <col min="16145" max="16145" width="9.109375" style="1" customWidth="1"/>
    <col min="16146" max="16146" width="17.109375" style="1" customWidth="1"/>
    <col min="16147" max="16147" width="11.6640625" style="1" customWidth="1"/>
    <col min="16148" max="16148" width="22.44140625" style="1" customWidth="1"/>
    <col min="16149" max="16149" width="25" style="1" customWidth="1"/>
    <col min="16150" max="16150" width="25.88671875" style="1" customWidth="1"/>
    <col min="16151" max="16151" width="24.33203125" style="1" customWidth="1"/>
    <col min="16152" max="16152" width="26.88671875" style="1" customWidth="1"/>
    <col min="16153" max="16153" width="9.109375" style="1" customWidth="1"/>
    <col min="16154" max="16154" width="29.44140625" style="1" customWidth="1"/>
    <col min="16155" max="16155" width="17.109375" style="1" customWidth="1"/>
    <col min="16156" max="16156" width="9.109375" style="1" customWidth="1"/>
    <col min="16157" max="16157" width="26.88671875" style="1" customWidth="1"/>
    <col min="16158" max="16158" width="9.109375" style="1" customWidth="1"/>
    <col min="16159" max="16159" width="17.109375" style="1" customWidth="1"/>
    <col min="16160" max="16160" width="30.44140625" style="1" customWidth="1"/>
    <col min="16161" max="16161" width="33" style="1" customWidth="1"/>
    <col min="16162" max="16164" width="9.6640625" style="1" customWidth="1"/>
    <col min="16165" max="16384" width="11.44140625" style="1"/>
  </cols>
  <sheetData>
    <row r="1" spans="1:39" ht="13.8" thickBot="1" x14ac:dyDescent="0.3">
      <c r="A1" s="13" t="s">
        <v>708</v>
      </c>
      <c r="B1" s="14" t="s">
        <v>710</v>
      </c>
      <c r="C1" s="2" t="s">
        <v>0</v>
      </c>
      <c r="D1" s="2" t="s">
        <v>709</v>
      </c>
      <c r="E1" s="2" t="s">
        <v>1</v>
      </c>
      <c r="F1" s="28" t="s">
        <v>990</v>
      </c>
      <c r="G1" s="28" t="s">
        <v>993</v>
      </c>
      <c r="H1" s="29" t="s">
        <v>1011</v>
      </c>
      <c r="I1" s="30" t="s">
        <v>2</v>
      </c>
      <c r="J1" s="30" t="s">
        <v>3</v>
      </c>
      <c r="K1" s="30" t="s">
        <v>4</v>
      </c>
      <c r="L1" s="31" t="s">
        <v>996</v>
      </c>
      <c r="M1" s="30" t="s">
        <v>5</v>
      </c>
      <c r="N1" s="30" t="s">
        <v>6</v>
      </c>
      <c r="O1" s="30" t="s">
        <v>992</v>
      </c>
      <c r="P1" s="30" t="s">
        <v>991</v>
      </c>
      <c r="Q1" s="30" t="s">
        <v>997</v>
      </c>
      <c r="R1" s="30" t="s">
        <v>7</v>
      </c>
      <c r="S1" s="30" t="s">
        <v>8</v>
      </c>
      <c r="T1" s="30" t="s">
        <v>9</v>
      </c>
      <c r="U1" s="30" t="s">
        <v>10</v>
      </c>
      <c r="V1" s="30" t="s">
        <v>998</v>
      </c>
      <c r="W1" s="30" t="s">
        <v>999</v>
      </c>
      <c r="X1" s="30" t="s">
        <v>1000</v>
      </c>
      <c r="Y1" s="30" t="s">
        <v>1001</v>
      </c>
      <c r="Z1" s="30" t="s">
        <v>1002</v>
      </c>
      <c r="AA1" s="30" t="s">
        <v>11</v>
      </c>
      <c r="AB1" s="30" t="s">
        <v>1003</v>
      </c>
      <c r="AC1" s="30" t="s">
        <v>1004</v>
      </c>
      <c r="AD1" s="30" t="s">
        <v>1005</v>
      </c>
      <c r="AE1" s="30" t="s">
        <v>12</v>
      </c>
      <c r="AF1" s="30" t="s">
        <v>1006</v>
      </c>
      <c r="AG1" s="30" t="s">
        <v>1007</v>
      </c>
      <c r="AH1" s="30" t="s">
        <v>1008</v>
      </c>
      <c r="AI1" s="30" t="s">
        <v>1009</v>
      </c>
      <c r="AJ1" s="30" t="s">
        <v>1010</v>
      </c>
    </row>
    <row r="2" spans="1:39" x14ac:dyDescent="0.25">
      <c r="A2" s="7" t="s">
        <v>19</v>
      </c>
      <c r="B2" s="27" t="s">
        <v>388</v>
      </c>
      <c r="C2" s="7" t="s">
        <v>20</v>
      </c>
      <c r="D2" s="7" t="s">
        <v>21</v>
      </c>
      <c r="E2" s="7">
        <v>0</v>
      </c>
      <c r="F2" s="7" t="s">
        <v>13</v>
      </c>
      <c r="G2" s="8" t="s">
        <v>1012</v>
      </c>
      <c r="H2" s="5">
        <f t="shared" ref="H2:H65" si="0">SUM(I2:M2,N2:R2,S2:AJ2)</f>
        <v>64.626441176470578</v>
      </c>
      <c r="I2" s="6">
        <v>6.985294117647059E-2</v>
      </c>
      <c r="J2" s="6">
        <v>0.40649999999999997</v>
      </c>
      <c r="K2" s="6">
        <v>0.83511764705882352</v>
      </c>
      <c r="L2" s="6">
        <v>0</v>
      </c>
      <c r="M2" s="6">
        <v>0.18752941176470586</v>
      </c>
      <c r="N2" s="6">
        <v>15.865499999999997</v>
      </c>
      <c r="O2" s="6">
        <v>0</v>
      </c>
      <c r="P2" s="6">
        <v>0</v>
      </c>
      <c r="Q2" s="6">
        <v>2.1987647058823527</v>
      </c>
      <c r="R2" s="6">
        <v>0.19926470588235293</v>
      </c>
      <c r="S2" s="15">
        <v>10.634</v>
      </c>
      <c r="T2" s="15">
        <v>0</v>
      </c>
      <c r="U2" s="15">
        <v>0</v>
      </c>
      <c r="V2" s="6">
        <v>11.426529411764704</v>
      </c>
      <c r="W2" s="6">
        <v>1.8209117647058823</v>
      </c>
      <c r="X2" s="6">
        <v>8.2560588235294112</v>
      </c>
      <c r="Y2" s="6">
        <v>8.1294117647058822E-2</v>
      </c>
      <c r="Z2" s="6">
        <v>0.21867647058823528</v>
      </c>
      <c r="AA2" s="6">
        <v>0.27308823529411763</v>
      </c>
      <c r="AB2" s="6">
        <v>0.16270588235294117</v>
      </c>
      <c r="AC2" s="6">
        <v>8.0898529411764706</v>
      </c>
      <c r="AD2" s="6">
        <v>3.3058823529411765E-2</v>
      </c>
      <c r="AE2" s="6">
        <v>0.33894117647058819</v>
      </c>
      <c r="AF2" s="6">
        <v>0.14285294117647057</v>
      </c>
      <c r="AG2" s="6">
        <v>0.10247058823529412</v>
      </c>
      <c r="AH2" s="6">
        <v>1.2127058823529411</v>
      </c>
      <c r="AI2" s="6">
        <v>0.27244117647058824</v>
      </c>
      <c r="AJ2" s="6">
        <v>1.7983235294117645</v>
      </c>
      <c r="AK2" s="4"/>
      <c r="AL2" s="4"/>
      <c r="AM2" s="4"/>
    </row>
    <row r="3" spans="1:39" x14ac:dyDescent="0.25">
      <c r="A3" s="8" t="s">
        <v>22</v>
      </c>
      <c r="B3" s="27" t="s">
        <v>389</v>
      </c>
      <c r="C3" s="8" t="s">
        <v>20</v>
      </c>
      <c r="D3" s="8" t="s">
        <v>23</v>
      </c>
      <c r="E3" s="8">
        <v>1</v>
      </c>
      <c r="F3" s="8" t="s">
        <v>13</v>
      </c>
      <c r="G3" s="8" t="s">
        <v>1012</v>
      </c>
      <c r="H3" s="5">
        <f t="shared" si="0"/>
        <v>51.902588235294111</v>
      </c>
      <c r="I3" s="6">
        <v>6.9235294117647048E-2</v>
      </c>
      <c r="J3" s="6">
        <v>0.32552941176470584</v>
      </c>
      <c r="K3" s="6">
        <v>1.0240588235294117</v>
      </c>
      <c r="L3" s="6">
        <v>0</v>
      </c>
      <c r="M3" s="6">
        <v>0.25097058823529411</v>
      </c>
      <c r="N3" s="6">
        <v>14.244147058823527</v>
      </c>
      <c r="O3" s="6">
        <v>0</v>
      </c>
      <c r="P3" s="6">
        <v>1.8499999999999996E-2</v>
      </c>
      <c r="Q3" s="6">
        <v>3.1172941176470585</v>
      </c>
      <c r="R3" s="6">
        <v>0.18561764705882353</v>
      </c>
      <c r="S3" s="16">
        <v>7.6428529411764705</v>
      </c>
      <c r="T3" s="16">
        <v>2.0588235294117643E-4</v>
      </c>
      <c r="U3" s="16">
        <v>0</v>
      </c>
      <c r="V3" s="6">
        <v>8.5612352941176475</v>
      </c>
      <c r="W3" s="6">
        <v>1.765235294117647</v>
      </c>
      <c r="X3" s="6">
        <v>6.5270294117647056</v>
      </c>
      <c r="Y3" s="6">
        <v>0.16417647058823528</v>
      </c>
      <c r="Z3" s="6">
        <v>0.27732352941176469</v>
      </c>
      <c r="AA3" s="6">
        <v>0.20558823529411765</v>
      </c>
      <c r="AB3" s="6">
        <v>0.16597058823529412</v>
      </c>
      <c r="AC3" s="6">
        <v>5.0876470588235287</v>
      </c>
      <c r="AD3" s="6">
        <v>6.6735294117647045E-2</v>
      </c>
      <c r="AE3" s="6">
        <v>0.19029411764705878</v>
      </c>
      <c r="AF3" s="6">
        <v>0.12126470588235294</v>
      </c>
      <c r="AG3" s="6">
        <v>7.326470588235294E-2</v>
      </c>
      <c r="AH3" s="6">
        <v>0.72432352941176459</v>
      </c>
      <c r="AI3" s="6">
        <v>0.17808823529411763</v>
      </c>
      <c r="AJ3" s="6">
        <v>0.91599999999999993</v>
      </c>
      <c r="AK3" s="4"/>
      <c r="AL3" s="4"/>
      <c r="AM3" s="4"/>
    </row>
    <row r="4" spans="1:39" x14ac:dyDescent="0.25">
      <c r="A4" s="8" t="s">
        <v>24</v>
      </c>
      <c r="B4" s="27" t="s">
        <v>390</v>
      </c>
      <c r="C4" s="8" t="s">
        <v>20</v>
      </c>
      <c r="D4" s="8" t="s">
        <v>25</v>
      </c>
      <c r="E4" s="8">
        <v>1</v>
      </c>
      <c r="F4" s="8" t="s">
        <v>13</v>
      </c>
      <c r="G4" s="8" t="s">
        <v>1012</v>
      </c>
      <c r="H4" s="5">
        <f t="shared" si="0"/>
        <v>50.207382352941167</v>
      </c>
      <c r="I4" s="6">
        <v>8.0823529411764697E-2</v>
      </c>
      <c r="J4" s="6">
        <v>0.39585294117647052</v>
      </c>
      <c r="K4" s="6">
        <v>1.0712058823529411</v>
      </c>
      <c r="L4" s="6">
        <v>0</v>
      </c>
      <c r="M4" s="6">
        <v>0.24947058823529411</v>
      </c>
      <c r="N4" s="6">
        <v>13.731176470588233</v>
      </c>
      <c r="O4" s="6">
        <v>6.1470588235294108E-3</v>
      </c>
      <c r="P4" s="6">
        <v>1.1117647058823529E-2</v>
      </c>
      <c r="Q4" s="6">
        <v>3.5283823529411764</v>
      </c>
      <c r="R4" s="6">
        <v>0.16379411764705881</v>
      </c>
      <c r="S4" s="16">
        <v>5.791294117647058</v>
      </c>
      <c r="T4" s="16">
        <v>0</v>
      </c>
      <c r="U4" s="16">
        <v>0</v>
      </c>
      <c r="V4" s="6">
        <v>9.0960294117647056</v>
      </c>
      <c r="W4" s="6">
        <v>1.4913823529411765</v>
      </c>
      <c r="X4" s="6">
        <v>7.988617647058823</v>
      </c>
      <c r="Y4" s="6">
        <v>0.12558823529411764</v>
      </c>
      <c r="Z4" s="6">
        <v>0.38052941176470584</v>
      </c>
      <c r="AA4" s="6">
        <v>0.14532352941176471</v>
      </c>
      <c r="AB4" s="6">
        <v>0.16691176470588234</v>
      </c>
      <c r="AC4" s="6">
        <v>4.114264705882352</v>
      </c>
      <c r="AD4" s="6">
        <v>4.8529411764705883E-2</v>
      </c>
      <c r="AE4" s="6">
        <v>0.13788235294117646</v>
      </c>
      <c r="AF4" s="6">
        <v>9.8823529411764685E-2</v>
      </c>
      <c r="AG4" s="6">
        <v>5.0823529411764705E-2</v>
      </c>
      <c r="AH4" s="6">
        <v>0.49555882352941172</v>
      </c>
      <c r="AI4" s="6">
        <v>0.12361764705882351</v>
      </c>
      <c r="AJ4" s="6">
        <v>0.71423529411764697</v>
      </c>
      <c r="AK4" s="4"/>
      <c r="AL4" s="4"/>
      <c r="AM4" s="4"/>
    </row>
    <row r="5" spans="1:39" x14ac:dyDescent="0.25">
      <c r="A5" s="7" t="s">
        <v>26</v>
      </c>
      <c r="B5" s="27" t="s">
        <v>391</v>
      </c>
      <c r="C5" s="7" t="s">
        <v>20</v>
      </c>
      <c r="D5" s="7" t="s">
        <v>27</v>
      </c>
      <c r="E5" s="7">
        <v>1</v>
      </c>
      <c r="F5" s="7" t="s">
        <v>13</v>
      </c>
      <c r="G5" s="8" t="s">
        <v>1012</v>
      </c>
      <c r="H5" s="5">
        <f t="shared" si="0"/>
        <v>401.03355882352952</v>
      </c>
      <c r="I5" s="6">
        <v>0.19079411764705881</v>
      </c>
      <c r="J5" s="6">
        <v>0.71482352941176464</v>
      </c>
      <c r="K5" s="6">
        <v>6.3920588235294105</v>
      </c>
      <c r="L5" s="6">
        <v>0</v>
      </c>
      <c r="M5" s="6">
        <v>0.45605882352941174</v>
      </c>
      <c r="N5" s="6">
        <v>100.1394705882353</v>
      </c>
      <c r="O5" s="6">
        <v>0</v>
      </c>
      <c r="P5" s="6">
        <v>0</v>
      </c>
      <c r="Q5" s="6">
        <v>20.365235294117646</v>
      </c>
      <c r="R5" s="6">
        <v>0.6090882352941176</v>
      </c>
      <c r="S5" s="15">
        <v>29.602</v>
      </c>
      <c r="T5" s="15">
        <v>0</v>
      </c>
      <c r="U5" s="15">
        <v>0</v>
      </c>
      <c r="V5" s="6">
        <v>122.88288235294117</v>
      </c>
      <c r="W5" s="6">
        <v>8.8766176470588238</v>
      </c>
      <c r="X5" s="6">
        <v>88.519970588235282</v>
      </c>
      <c r="Y5" s="6">
        <v>0.32179411764705879</v>
      </c>
      <c r="Z5" s="6">
        <v>4.3627352941176465</v>
      </c>
      <c r="AA5" s="6">
        <v>0.57005882352941173</v>
      </c>
      <c r="AB5" s="6">
        <v>1.8292352941176471</v>
      </c>
      <c r="AC5" s="6">
        <v>10.132764705882352</v>
      </c>
      <c r="AD5" s="6">
        <v>4.7029411764705882E-2</v>
      </c>
      <c r="AE5" s="6">
        <v>0.39885294117647058</v>
      </c>
      <c r="AF5" s="6">
        <v>0.23891176470588232</v>
      </c>
      <c r="AG5" s="6">
        <v>0.15991176470588234</v>
      </c>
      <c r="AH5" s="6">
        <v>1.6326176470588234</v>
      </c>
      <c r="AI5" s="6">
        <v>0.34658823529411764</v>
      </c>
      <c r="AJ5" s="6">
        <v>2.2440588235294117</v>
      </c>
      <c r="AK5" s="4"/>
      <c r="AL5" s="4"/>
      <c r="AM5" s="4"/>
    </row>
    <row r="6" spans="1:39" x14ac:dyDescent="0.25">
      <c r="A6" s="7" t="s">
        <v>28</v>
      </c>
      <c r="B6" s="27" t="s">
        <v>392</v>
      </c>
      <c r="C6" s="7" t="s">
        <v>20</v>
      </c>
      <c r="D6" s="7" t="s">
        <v>29</v>
      </c>
      <c r="E6" s="7">
        <v>1</v>
      </c>
      <c r="F6" s="7" t="s">
        <v>13</v>
      </c>
      <c r="G6" s="8" t="s">
        <v>1012</v>
      </c>
      <c r="H6" s="5">
        <f t="shared" si="0"/>
        <v>142.90647058823527</v>
      </c>
      <c r="I6" s="6">
        <v>0.1082941176470588</v>
      </c>
      <c r="J6" s="6">
        <v>0.52385294117647052</v>
      </c>
      <c r="K6" s="6">
        <v>2.963382352941176</v>
      </c>
      <c r="L6" s="6">
        <v>0</v>
      </c>
      <c r="M6" s="6">
        <v>0.39585294117647052</v>
      </c>
      <c r="N6" s="6">
        <v>42.954823529411762</v>
      </c>
      <c r="O6" s="6">
        <v>0</v>
      </c>
      <c r="P6" s="6">
        <v>0</v>
      </c>
      <c r="Q6" s="6">
        <v>10.23635294117647</v>
      </c>
      <c r="R6" s="6">
        <v>0.30202941176470588</v>
      </c>
      <c r="S6" s="15">
        <v>17.395</v>
      </c>
      <c r="T6" s="15">
        <v>0</v>
      </c>
      <c r="U6" s="15">
        <v>0</v>
      </c>
      <c r="V6" s="6">
        <v>29.294970588235294</v>
      </c>
      <c r="W6" s="6">
        <v>3.2932352941176464</v>
      </c>
      <c r="X6" s="6">
        <v>22.69891176470588</v>
      </c>
      <c r="Y6" s="6">
        <v>0.24926470588235294</v>
      </c>
      <c r="Z6" s="6">
        <v>1.117441176470588</v>
      </c>
      <c r="AA6" s="6">
        <v>0.37644117647058817</v>
      </c>
      <c r="AB6" s="6">
        <v>0.4971176470588235</v>
      </c>
      <c r="AC6" s="6">
        <v>7.2525294117647059</v>
      </c>
      <c r="AD6" s="6">
        <v>8.0735294117647044E-2</v>
      </c>
      <c r="AE6" s="6">
        <v>0.28961764705882354</v>
      </c>
      <c r="AF6" s="6">
        <v>0.17494117647058821</v>
      </c>
      <c r="AG6" s="6">
        <v>0.12211764705882353</v>
      </c>
      <c r="AH6" s="6">
        <v>1.0253823529411763</v>
      </c>
      <c r="AI6" s="6">
        <v>0.22270588235294114</v>
      </c>
      <c r="AJ6" s="6">
        <v>1.331470588235294</v>
      </c>
      <c r="AK6" s="4"/>
      <c r="AL6" s="4"/>
      <c r="AM6" s="4"/>
    </row>
    <row r="7" spans="1:39" x14ac:dyDescent="0.25">
      <c r="A7" s="7" t="s">
        <v>30</v>
      </c>
      <c r="B7" s="27" t="s">
        <v>393</v>
      </c>
      <c r="C7" s="7" t="s">
        <v>20</v>
      </c>
      <c r="D7" s="7" t="s">
        <v>31</v>
      </c>
      <c r="E7" s="7">
        <v>1</v>
      </c>
      <c r="F7" s="7" t="s">
        <v>13</v>
      </c>
      <c r="G7" s="8" t="s">
        <v>1012</v>
      </c>
      <c r="H7" s="5">
        <f t="shared" si="0"/>
        <v>54.915941176470568</v>
      </c>
      <c r="I7" s="6">
        <v>5.8235294117647059E-2</v>
      </c>
      <c r="J7" s="6">
        <v>0.38817647058823523</v>
      </c>
      <c r="K7" s="6">
        <v>0.96247058823529397</v>
      </c>
      <c r="L7" s="6">
        <v>0</v>
      </c>
      <c r="M7" s="6">
        <v>0.25382352941176467</v>
      </c>
      <c r="N7" s="6">
        <v>13.799323529411764</v>
      </c>
      <c r="O7" s="6">
        <v>0</v>
      </c>
      <c r="P7" s="6">
        <v>0</v>
      </c>
      <c r="Q7" s="6">
        <v>3.0627647058823526</v>
      </c>
      <c r="R7" s="6">
        <v>0.20758823529411763</v>
      </c>
      <c r="S7" s="15">
        <v>7.7569999999999997</v>
      </c>
      <c r="T7" s="15">
        <v>0</v>
      </c>
      <c r="U7" s="15">
        <v>0</v>
      </c>
      <c r="V7" s="6">
        <v>11.438676470588234</v>
      </c>
      <c r="W7" s="6">
        <v>1.887970588235294</v>
      </c>
      <c r="X7" s="6">
        <v>6.3571176470588231</v>
      </c>
      <c r="Y7" s="6">
        <v>0.16120588235294114</v>
      </c>
      <c r="Z7" s="6">
        <v>0.18817647058823528</v>
      </c>
      <c r="AA7" s="6">
        <v>0.20220588235294118</v>
      </c>
      <c r="AB7" s="6">
        <v>0.15785294117647058</v>
      </c>
      <c r="AC7" s="6">
        <v>5.7207058823529406</v>
      </c>
      <c r="AD7" s="6">
        <v>6.5617647058823531E-2</v>
      </c>
      <c r="AE7" s="6">
        <v>0.19349999999999998</v>
      </c>
      <c r="AF7" s="6">
        <v>0.10447058823529412</v>
      </c>
      <c r="AG7" s="6">
        <v>7.3058823529411759E-2</v>
      </c>
      <c r="AH7" s="6">
        <v>0.72664705882352931</v>
      </c>
      <c r="AI7" s="6">
        <v>0.16255882352941176</v>
      </c>
      <c r="AJ7" s="6">
        <v>0.98679411764705871</v>
      </c>
      <c r="AK7" s="4"/>
      <c r="AL7" s="4"/>
      <c r="AM7" s="4"/>
    </row>
    <row r="8" spans="1:39" x14ac:dyDescent="0.25">
      <c r="A8" s="8" t="s">
        <v>32</v>
      </c>
      <c r="B8" s="27" t="s">
        <v>394</v>
      </c>
      <c r="C8" s="8" t="s">
        <v>20</v>
      </c>
      <c r="D8" s="8" t="s">
        <v>33</v>
      </c>
      <c r="E8" s="8">
        <v>2</v>
      </c>
      <c r="F8" s="8" t="s">
        <v>13</v>
      </c>
      <c r="G8" s="8" t="s">
        <v>1012</v>
      </c>
      <c r="H8" s="5">
        <f t="shared" si="0"/>
        <v>63.914558823529397</v>
      </c>
      <c r="I8" s="6">
        <v>8.7352941176470578E-2</v>
      </c>
      <c r="J8" s="6">
        <v>0.33702941176470586</v>
      </c>
      <c r="K8" s="6">
        <v>1.3721176470588234</v>
      </c>
      <c r="L8" s="6">
        <v>0</v>
      </c>
      <c r="M8" s="6">
        <v>0.28447058823529409</v>
      </c>
      <c r="N8" s="6">
        <v>17.482382352941173</v>
      </c>
      <c r="O8" s="6">
        <v>1.1352941176470588E-2</v>
      </c>
      <c r="P8" s="6">
        <v>2.088235294117647E-2</v>
      </c>
      <c r="Q8" s="6">
        <v>4.3905294117647058</v>
      </c>
      <c r="R8" s="6">
        <v>0.19064705882352939</v>
      </c>
      <c r="S8" s="16">
        <v>6.9950294117647047</v>
      </c>
      <c r="T8" s="16">
        <v>0</v>
      </c>
      <c r="U8" s="16">
        <v>0</v>
      </c>
      <c r="V8" s="6">
        <v>11.895970588235292</v>
      </c>
      <c r="W8" s="6">
        <v>1.9170294117647058</v>
      </c>
      <c r="X8" s="6">
        <v>10.798117647058822</v>
      </c>
      <c r="Y8" s="6">
        <v>0.17079411764705879</v>
      </c>
      <c r="Z8" s="6">
        <v>0.57997058823529413</v>
      </c>
      <c r="AA8" s="6">
        <v>0.18867647058823528</v>
      </c>
      <c r="AB8" s="6">
        <v>0.22494117647058823</v>
      </c>
      <c r="AC8" s="6">
        <v>4.8721176470588228</v>
      </c>
      <c r="AD8" s="6">
        <v>5.6235294117647057E-2</v>
      </c>
      <c r="AE8" s="6">
        <v>0.16655882352941176</v>
      </c>
      <c r="AF8" s="6">
        <v>0.11547058823529412</v>
      </c>
      <c r="AG8" s="6">
        <v>6.1852941176470583E-2</v>
      </c>
      <c r="AH8" s="6">
        <v>0.66082352941176459</v>
      </c>
      <c r="AI8" s="6">
        <v>0.16797058823529409</v>
      </c>
      <c r="AJ8" s="6">
        <v>0.86623529411764699</v>
      </c>
      <c r="AK8" s="4"/>
      <c r="AL8" s="4"/>
      <c r="AM8" s="4"/>
    </row>
    <row r="9" spans="1:39" x14ac:dyDescent="0.25">
      <c r="A9" s="8" t="s">
        <v>34</v>
      </c>
      <c r="B9" s="27" t="s">
        <v>395</v>
      </c>
      <c r="C9" s="8" t="s">
        <v>20</v>
      </c>
      <c r="D9" s="8" t="s">
        <v>35</v>
      </c>
      <c r="E9" s="8">
        <v>2</v>
      </c>
      <c r="F9" s="8" t="s">
        <v>13</v>
      </c>
      <c r="G9" s="8" t="s">
        <v>1012</v>
      </c>
      <c r="H9" s="5">
        <f t="shared" si="0"/>
        <v>36.404941176470594</v>
      </c>
      <c r="I9" s="6">
        <v>7.7235294117647055E-2</v>
      </c>
      <c r="J9" s="6">
        <v>0.29641176470588232</v>
      </c>
      <c r="K9" s="6">
        <v>0.68017647058823527</v>
      </c>
      <c r="L9" s="6">
        <v>0</v>
      </c>
      <c r="M9" s="6">
        <v>0.20294117647058824</v>
      </c>
      <c r="N9" s="6">
        <v>9.7650294117647061</v>
      </c>
      <c r="O9" s="6">
        <v>3.041176470588235E-2</v>
      </c>
      <c r="P9" s="6">
        <v>2.9352941176470585E-2</v>
      </c>
      <c r="Q9" s="6">
        <v>2.2818235294117644</v>
      </c>
      <c r="R9" s="6">
        <v>0.14423529411764704</v>
      </c>
      <c r="S9" s="16">
        <v>6.1119999999999992</v>
      </c>
      <c r="T9" s="16">
        <v>0</v>
      </c>
      <c r="U9" s="16">
        <v>0</v>
      </c>
      <c r="V9" s="6">
        <v>5.3144117647058815</v>
      </c>
      <c r="W9" s="6">
        <v>1.2434411764705882</v>
      </c>
      <c r="X9" s="6">
        <v>3.4936470588235293</v>
      </c>
      <c r="Y9" s="6">
        <v>0.11408823529411763</v>
      </c>
      <c r="Z9" s="6">
        <v>0.11502941176470587</v>
      </c>
      <c r="AA9" s="6">
        <v>0.15917647058823528</v>
      </c>
      <c r="AB9" s="6">
        <v>8.6705882352941174E-2</v>
      </c>
      <c r="AC9" s="6">
        <v>4.3709117647058822</v>
      </c>
      <c r="AD9" s="6">
        <v>4.65E-2</v>
      </c>
      <c r="AE9" s="6">
        <v>0.15944117647058823</v>
      </c>
      <c r="AF9" s="6">
        <v>9.5941176470588238E-2</v>
      </c>
      <c r="AG9" s="6">
        <v>5.252941176470588E-2</v>
      </c>
      <c r="AH9" s="6">
        <v>0.63617647058823523</v>
      </c>
      <c r="AI9" s="6">
        <v>0.1474705882352941</v>
      </c>
      <c r="AJ9" s="6">
        <v>0.74985294117647061</v>
      </c>
      <c r="AK9" s="4"/>
      <c r="AL9" s="4"/>
      <c r="AM9" s="4"/>
    </row>
    <row r="10" spans="1:39" x14ac:dyDescent="0.25">
      <c r="A10" s="7" t="s">
        <v>36</v>
      </c>
      <c r="B10" s="27" t="s">
        <v>396</v>
      </c>
      <c r="C10" s="7" t="s">
        <v>20</v>
      </c>
      <c r="D10" s="7" t="s">
        <v>37</v>
      </c>
      <c r="E10" s="7">
        <v>2</v>
      </c>
      <c r="F10" s="7" t="s">
        <v>13</v>
      </c>
      <c r="G10" s="8" t="s">
        <v>1012</v>
      </c>
      <c r="H10" s="5">
        <f t="shared" si="0"/>
        <v>61.590529411764706</v>
      </c>
      <c r="I10" s="6">
        <v>6.3235294117647042E-2</v>
      </c>
      <c r="J10" s="6">
        <v>0.39364705882352935</v>
      </c>
      <c r="K10" s="6">
        <v>0.87241176470588222</v>
      </c>
      <c r="L10" s="6">
        <v>0</v>
      </c>
      <c r="M10" s="6">
        <v>0.20561764705882352</v>
      </c>
      <c r="N10" s="6">
        <v>14.713382352941176</v>
      </c>
      <c r="O10" s="6">
        <v>6.8588235294117644E-2</v>
      </c>
      <c r="P10" s="6">
        <v>1.7852941176470585E-2</v>
      </c>
      <c r="Q10" s="6">
        <v>2.5327058823529409</v>
      </c>
      <c r="R10" s="6">
        <v>0.22852941176470587</v>
      </c>
      <c r="S10" s="15">
        <v>9.8149999999999995</v>
      </c>
      <c r="T10" s="15">
        <v>0</v>
      </c>
      <c r="U10" s="15">
        <v>0</v>
      </c>
      <c r="V10" s="6">
        <v>11.717470588235294</v>
      </c>
      <c r="W10" s="6">
        <v>1.9942647058823528</v>
      </c>
      <c r="X10" s="6">
        <v>7.4578823529411764</v>
      </c>
      <c r="Y10" s="6">
        <v>0.12729411764705881</v>
      </c>
      <c r="Z10" s="6">
        <v>0.22108823529411764</v>
      </c>
      <c r="AA10" s="6">
        <v>0.25858823529411762</v>
      </c>
      <c r="AB10" s="6">
        <v>0.16508823529411762</v>
      </c>
      <c r="AC10" s="6">
        <v>7.326735294117646</v>
      </c>
      <c r="AD10" s="6">
        <v>6.1970588235294111E-2</v>
      </c>
      <c r="AE10" s="6">
        <v>0.28949999999999998</v>
      </c>
      <c r="AF10" s="6">
        <v>0.13567647058823529</v>
      </c>
      <c r="AG10" s="6">
        <v>8.9117647058823524E-2</v>
      </c>
      <c r="AH10" s="6">
        <v>1.0712647058823528</v>
      </c>
      <c r="AI10" s="6">
        <v>0.25282352941176467</v>
      </c>
      <c r="AJ10" s="6">
        <v>1.5107941176470585</v>
      </c>
      <c r="AK10" s="4"/>
      <c r="AL10" s="4"/>
      <c r="AM10" s="4"/>
    </row>
    <row r="11" spans="1:39" x14ac:dyDescent="0.25">
      <c r="A11" s="7" t="s">
        <v>38</v>
      </c>
      <c r="B11" s="27" t="s">
        <v>397</v>
      </c>
      <c r="C11" s="7" t="s">
        <v>20</v>
      </c>
      <c r="D11" s="7" t="s">
        <v>39</v>
      </c>
      <c r="E11" s="7">
        <v>2</v>
      </c>
      <c r="F11" s="7" t="s">
        <v>13</v>
      </c>
      <c r="G11" s="8" t="s">
        <v>1012</v>
      </c>
      <c r="H11" s="5">
        <f t="shared" si="0"/>
        <v>55.058970588235297</v>
      </c>
      <c r="I11" s="6">
        <v>6.9735294117647048E-2</v>
      </c>
      <c r="J11" s="6">
        <v>0.39061764705882351</v>
      </c>
      <c r="K11" s="6">
        <v>0.63885294117647051</v>
      </c>
      <c r="L11" s="6">
        <v>0</v>
      </c>
      <c r="M11" s="6">
        <v>0.23317647058823529</v>
      </c>
      <c r="N11" s="6">
        <v>15.475088235294114</v>
      </c>
      <c r="O11" s="6">
        <v>0</v>
      </c>
      <c r="P11" s="6">
        <v>2.0941176470588234E-2</v>
      </c>
      <c r="Q11" s="6">
        <v>1.4769705882352939</v>
      </c>
      <c r="R11" s="6">
        <v>0.23023529411764704</v>
      </c>
      <c r="S11" s="15">
        <v>13.257999999999999</v>
      </c>
      <c r="T11" s="15">
        <v>0</v>
      </c>
      <c r="U11" s="15">
        <v>0</v>
      </c>
      <c r="V11" s="6">
        <v>7.1646176470588232</v>
      </c>
      <c r="W11" s="6">
        <v>1.6234117647058823</v>
      </c>
      <c r="X11" s="6">
        <v>4.7729117647058814</v>
      </c>
      <c r="Y11" s="6">
        <v>0.15135294117647058</v>
      </c>
      <c r="Z11" s="6">
        <v>8.7029411764705883E-2</v>
      </c>
      <c r="AA11" s="6">
        <v>0.27544117647058819</v>
      </c>
      <c r="AB11" s="6">
        <v>0.1169705882352941</v>
      </c>
      <c r="AC11" s="6">
        <v>6.2188529411764701</v>
      </c>
      <c r="AD11" s="6">
        <v>7.1676470588235286E-2</v>
      </c>
      <c r="AE11" s="6">
        <v>0.27044117647058824</v>
      </c>
      <c r="AF11" s="6">
        <v>0.13788235294117646</v>
      </c>
      <c r="AG11" s="6">
        <v>0.10570588235294116</v>
      </c>
      <c r="AH11" s="6">
        <v>0.86823529411764699</v>
      </c>
      <c r="AI11" s="6">
        <v>0.18620588235294117</v>
      </c>
      <c r="AJ11" s="6">
        <v>1.2146176470588235</v>
      </c>
      <c r="AK11" s="4"/>
      <c r="AL11" s="4"/>
      <c r="AM11" s="4"/>
    </row>
    <row r="12" spans="1:39" x14ac:dyDescent="0.25">
      <c r="A12" s="7" t="s">
        <v>40</v>
      </c>
      <c r="B12" s="27" t="s">
        <v>398</v>
      </c>
      <c r="C12" s="7" t="s">
        <v>20</v>
      </c>
      <c r="D12" s="7" t="s">
        <v>41</v>
      </c>
      <c r="E12" s="7">
        <v>2</v>
      </c>
      <c r="F12" s="7" t="s">
        <v>13</v>
      </c>
      <c r="G12" s="8" t="s">
        <v>1012</v>
      </c>
      <c r="H12" s="5">
        <f t="shared" si="0"/>
        <v>96.085264705882352</v>
      </c>
      <c r="I12" s="6">
        <v>7.9823529411764696E-2</v>
      </c>
      <c r="J12" s="6">
        <v>0.4491470588235294</v>
      </c>
      <c r="K12" s="6">
        <v>1.7710882352941175</v>
      </c>
      <c r="L12" s="6">
        <v>0</v>
      </c>
      <c r="M12" s="6">
        <v>0.29058823529411765</v>
      </c>
      <c r="N12" s="6">
        <v>27.617029411764701</v>
      </c>
      <c r="O12" s="6">
        <v>0</v>
      </c>
      <c r="P12" s="6">
        <v>2.9823529411764704E-2</v>
      </c>
      <c r="Q12" s="6">
        <v>6.1382647058823521</v>
      </c>
      <c r="R12" s="6">
        <v>0.22405882352941173</v>
      </c>
      <c r="S12" s="15">
        <v>12.888</v>
      </c>
      <c r="T12" s="15">
        <v>0</v>
      </c>
      <c r="U12" s="15">
        <v>0</v>
      </c>
      <c r="V12" s="6">
        <v>20.33120588235294</v>
      </c>
      <c r="W12" s="6">
        <v>2.6153235294117643</v>
      </c>
      <c r="X12" s="6">
        <v>11.758323529411763</v>
      </c>
      <c r="Y12" s="6">
        <v>0.17714705882352941</v>
      </c>
      <c r="Z12" s="6">
        <v>0.5095294117647059</v>
      </c>
      <c r="AA12" s="6">
        <v>0.31067647058823528</v>
      </c>
      <c r="AB12" s="6">
        <v>0.26082352941176468</v>
      </c>
      <c r="AC12" s="6">
        <v>7.1536176470588231</v>
      </c>
      <c r="AD12" s="6">
        <v>6.4205882352941168E-2</v>
      </c>
      <c r="AE12" s="6">
        <v>0.27699999999999997</v>
      </c>
      <c r="AF12" s="6">
        <v>0.13711764705882351</v>
      </c>
      <c r="AG12" s="6">
        <v>9.3852941176470583E-2</v>
      </c>
      <c r="AH12" s="6">
        <v>1.0927352941176471</v>
      </c>
      <c r="AI12" s="6">
        <v>0.25355882352941173</v>
      </c>
      <c r="AJ12" s="6">
        <v>1.5623235294117648</v>
      </c>
      <c r="AK12" s="4"/>
      <c r="AL12" s="4"/>
      <c r="AM12" s="4"/>
    </row>
    <row r="13" spans="1:39" x14ac:dyDescent="0.25">
      <c r="A13" s="8" t="s">
        <v>42</v>
      </c>
      <c r="B13" s="27" t="s">
        <v>399</v>
      </c>
      <c r="C13" s="8" t="s">
        <v>20</v>
      </c>
      <c r="D13" s="8" t="s">
        <v>43</v>
      </c>
      <c r="E13" s="8">
        <v>6</v>
      </c>
      <c r="F13" s="8" t="s">
        <v>13</v>
      </c>
      <c r="G13" s="8" t="s">
        <v>1012</v>
      </c>
      <c r="H13" s="5">
        <f t="shared" si="0"/>
        <v>37.619499999999995</v>
      </c>
      <c r="I13" s="6">
        <v>7.2999999999999995E-2</v>
      </c>
      <c r="J13" s="6">
        <v>0.33244117647058824</v>
      </c>
      <c r="K13" s="6">
        <v>0.75164705882352933</v>
      </c>
      <c r="L13" s="6">
        <v>0</v>
      </c>
      <c r="M13" s="6">
        <v>0.14020588235294115</v>
      </c>
      <c r="N13" s="6">
        <v>9.8169411764705874</v>
      </c>
      <c r="O13" s="6">
        <v>2.1088235294117647E-2</v>
      </c>
      <c r="P13" s="6">
        <v>3.4235294117647051E-2</v>
      </c>
      <c r="Q13" s="6">
        <v>1.469970588235294</v>
      </c>
      <c r="R13" s="6">
        <v>0.12547058823529408</v>
      </c>
      <c r="S13" s="16">
        <v>6.0254705882352937</v>
      </c>
      <c r="T13" s="16">
        <v>0</v>
      </c>
      <c r="U13" s="16">
        <v>7.8235294117647049E-3</v>
      </c>
      <c r="V13" s="6">
        <v>6.2101176470588229</v>
      </c>
      <c r="W13" s="6">
        <v>1.1329411764705881</v>
      </c>
      <c r="X13" s="6">
        <v>5.2544411764705883</v>
      </c>
      <c r="Y13" s="6">
        <v>7.5588235294117637E-2</v>
      </c>
      <c r="Z13" s="6">
        <v>0.17894117647058821</v>
      </c>
      <c r="AA13" s="6">
        <v>0.16279411764705881</v>
      </c>
      <c r="AB13" s="6">
        <v>0.12288235294117646</v>
      </c>
      <c r="AC13" s="6">
        <v>3.8269411764705881</v>
      </c>
      <c r="AD13" s="6">
        <v>3.8794117647058819E-2</v>
      </c>
      <c r="AE13" s="6">
        <v>0.1698529411764706</v>
      </c>
      <c r="AF13" s="6">
        <v>8.4941176470588228E-2</v>
      </c>
      <c r="AG13" s="6">
        <v>5.7000000000000002E-2</v>
      </c>
      <c r="AH13" s="6">
        <v>0.58214705882352935</v>
      </c>
      <c r="AI13" s="6">
        <v>0.13797058823529409</v>
      </c>
      <c r="AJ13" s="6">
        <v>0.78585294117647042</v>
      </c>
      <c r="AK13" s="4"/>
      <c r="AL13" s="4"/>
      <c r="AM13" s="4"/>
    </row>
    <row r="14" spans="1:39" x14ac:dyDescent="0.25">
      <c r="A14" s="7" t="s">
        <v>44</v>
      </c>
      <c r="B14" s="27" t="s">
        <v>400</v>
      </c>
      <c r="C14" s="7" t="s">
        <v>20</v>
      </c>
      <c r="D14" s="7" t="s">
        <v>45</v>
      </c>
      <c r="E14" s="7">
        <v>6</v>
      </c>
      <c r="F14" s="7" t="s">
        <v>13</v>
      </c>
      <c r="G14" s="8" t="s">
        <v>1012</v>
      </c>
      <c r="H14" s="5">
        <f t="shared" si="0"/>
        <v>59.604117647058814</v>
      </c>
      <c r="I14" s="6">
        <v>6.0764705882352943E-2</v>
      </c>
      <c r="J14" s="6">
        <v>0.3715</v>
      </c>
      <c r="K14" s="6">
        <v>0.96376470588235297</v>
      </c>
      <c r="L14" s="6">
        <v>0</v>
      </c>
      <c r="M14" s="6">
        <v>0.24617647058823527</v>
      </c>
      <c r="N14" s="6">
        <v>15.218499999999999</v>
      </c>
      <c r="O14" s="6">
        <v>4.9205882352941169E-2</v>
      </c>
      <c r="P14" s="6">
        <v>5.1999999999999998E-2</v>
      </c>
      <c r="Q14" s="6">
        <v>2.8987352941176465</v>
      </c>
      <c r="R14" s="6">
        <v>0.20094117647058823</v>
      </c>
      <c r="S14" s="15">
        <v>8.5389999999999997</v>
      </c>
      <c r="T14" s="15">
        <v>0</v>
      </c>
      <c r="U14" s="15">
        <v>0</v>
      </c>
      <c r="V14" s="6">
        <v>11.473823529411764</v>
      </c>
      <c r="W14" s="6">
        <v>1.8383235294117646</v>
      </c>
      <c r="X14" s="6">
        <v>6.5789999999999997</v>
      </c>
      <c r="Y14" s="6">
        <v>0.12991176470588234</v>
      </c>
      <c r="Z14" s="6">
        <v>0.20088235294117646</v>
      </c>
      <c r="AA14" s="6">
        <v>0.29291176470588232</v>
      </c>
      <c r="AB14" s="6">
        <v>0.15811764705882353</v>
      </c>
      <c r="AC14" s="6">
        <v>7.0124411764705883</v>
      </c>
      <c r="AD14" s="6">
        <v>5.0264705882352941E-2</v>
      </c>
      <c r="AE14" s="6">
        <v>0.44167647058823523</v>
      </c>
      <c r="AF14" s="6">
        <v>0.12629411764705881</v>
      </c>
      <c r="AG14" s="6">
        <v>9.4E-2</v>
      </c>
      <c r="AH14" s="6">
        <v>0.97564705882352942</v>
      </c>
      <c r="AI14" s="6">
        <v>0.2321470588235294</v>
      </c>
      <c r="AJ14" s="6">
        <v>1.3980882352941175</v>
      </c>
      <c r="AK14" s="4"/>
      <c r="AL14" s="4"/>
      <c r="AM14" s="4"/>
    </row>
    <row r="15" spans="1:39" x14ac:dyDescent="0.25">
      <c r="A15" s="7" t="s">
        <v>46</v>
      </c>
      <c r="B15" s="27" t="s">
        <v>401</v>
      </c>
      <c r="C15" s="7" t="s">
        <v>20</v>
      </c>
      <c r="D15" s="7" t="s">
        <v>47</v>
      </c>
      <c r="E15" s="7">
        <v>6</v>
      </c>
      <c r="F15" s="7" t="s">
        <v>13</v>
      </c>
      <c r="G15" s="8" t="s">
        <v>1012</v>
      </c>
      <c r="H15" s="5">
        <f t="shared" si="0"/>
        <v>50.183352941176466</v>
      </c>
      <c r="I15" s="6">
        <v>5.776470588235294E-2</v>
      </c>
      <c r="J15" s="6">
        <v>0.33361764705882352</v>
      </c>
      <c r="K15" s="6">
        <v>0.65508823529411764</v>
      </c>
      <c r="L15" s="6">
        <v>0</v>
      </c>
      <c r="M15" s="6">
        <v>0.17794117647058821</v>
      </c>
      <c r="N15" s="6">
        <v>11.68491176470588</v>
      </c>
      <c r="O15" s="6">
        <v>0</v>
      </c>
      <c r="P15" s="6">
        <v>2.7205882352941173E-2</v>
      </c>
      <c r="Q15" s="6">
        <v>1.5730588235294116</v>
      </c>
      <c r="R15" s="6">
        <v>0.1812941176470588</v>
      </c>
      <c r="S15" s="15">
        <v>8.0340000000000007</v>
      </c>
      <c r="T15" s="15">
        <v>0</v>
      </c>
      <c r="U15" s="15">
        <v>0</v>
      </c>
      <c r="V15" s="6">
        <v>9.2482058823529396</v>
      </c>
      <c r="W15" s="6">
        <v>1.5944999999999998</v>
      </c>
      <c r="X15" s="6">
        <v>6.3298823529411754</v>
      </c>
      <c r="Y15" s="6">
        <v>9.2882352941176458E-2</v>
      </c>
      <c r="Z15" s="6">
        <v>0.1686470588235294</v>
      </c>
      <c r="AA15" s="6">
        <v>0.20920588235294116</v>
      </c>
      <c r="AB15" s="6">
        <v>0.13579411764705882</v>
      </c>
      <c r="AC15" s="6">
        <v>6.8249705882352938</v>
      </c>
      <c r="AD15" s="6">
        <v>4.0647058823529411E-2</v>
      </c>
      <c r="AE15" s="6">
        <v>0.24161764705882352</v>
      </c>
      <c r="AF15" s="6">
        <v>0.1283235294117647</v>
      </c>
      <c r="AG15" s="6">
        <v>8.5382352941176465E-2</v>
      </c>
      <c r="AH15" s="6">
        <v>0.86676470588235288</v>
      </c>
      <c r="AI15" s="6">
        <v>0.19826470588235293</v>
      </c>
      <c r="AJ15" s="6">
        <v>1.2933823529411763</v>
      </c>
      <c r="AK15" s="4"/>
      <c r="AL15" s="4"/>
      <c r="AM15" s="4"/>
    </row>
    <row r="16" spans="1:39" x14ac:dyDescent="0.25">
      <c r="A16" s="7" t="s">
        <v>48</v>
      </c>
      <c r="B16" s="27" t="s">
        <v>402</v>
      </c>
      <c r="C16" s="7" t="s">
        <v>20</v>
      </c>
      <c r="D16" s="7" t="s">
        <v>49</v>
      </c>
      <c r="E16" s="7">
        <v>6</v>
      </c>
      <c r="F16" s="7" t="s">
        <v>13</v>
      </c>
      <c r="G16" s="8" t="s">
        <v>1012</v>
      </c>
      <c r="H16" s="5">
        <f t="shared" si="0"/>
        <v>74.223382352941201</v>
      </c>
      <c r="I16" s="6">
        <v>6.5500000000000003E-2</v>
      </c>
      <c r="J16" s="6">
        <v>0.34364705882352936</v>
      </c>
      <c r="K16" s="6">
        <v>1.1164999999999998</v>
      </c>
      <c r="L16" s="6">
        <v>0</v>
      </c>
      <c r="M16" s="6">
        <v>0.15920588235294117</v>
      </c>
      <c r="N16" s="6">
        <v>18.152382352941174</v>
      </c>
      <c r="O16" s="6">
        <v>6.5617647058823531E-2</v>
      </c>
      <c r="P16" s="6">
        <v>0.10247058823529412</v>
      </c>
      <c r="Q16" s="6">
        <v>2.6168823529411762</v>
      </c>
      <c r="R16" s="6">
        <v>0.18149999999999999</v>
      </c>
      <c r="S16" s="15">
        <v>9.3829999999999991</v>
      </c>
      <c r="T16" s="15">
        <v>0</v>
      </c>
      <c r="U16" s="15">
        <v>0</v>
      </c>
      <c r="V16" s="6">
        <v>17.381735294117647</v>
      </c>
      <c r="W16" s="6">
        <v>1.6893529411764705</v>
      </c>
      <c r="X16" s="6">
        <v>12.223794117647058</v>
      </c>
      <c r="Y16" s="6">
        <v>5.8294117647058823E-2</v>
      </c>
      <c r="Z16" s="6">
        <v>0.43364705882352933</v>
      </c>
      <c r="AA16" s="6">
        <v>0.21382352941176469</v>
      </c>
      <c r="AB16" s="6">
        <v>0.22620588235294117</v>
      </c>
      <c r="AC16" s="6">
        <v>6.7365294117647059</v>
      </c>
      <c r="AD16" s="6">
        <v>1.6176470588235292E-2</v>
      </c>
      <c r="AE16" s="6">
        <v>0.2400882352941176</v>
      </c>
      <c r="AF16" s="6">
        <v>0.11861764705882351</v>
      </c>
      <c r="AG16" s="6">
        <v>9.2117647058823526E-2</v>
      </c>
      <c r="AH16" s="6">
        <v>1.0320294117647058</v>
      </c>
      <c r="AI16" s="6">
        <v>0.21055882352941174</v>
      </c>
      <c r="AJ16" s="6">
        <v>1.3637058823529411</v>
      </c>
      <c r="AK16" s="4"/>
      <c r="AL16" s="4"/>
      <c r="AM16" s="4"/>
    </row>
    <row r="17" spans="1:39" x14ac:dyDescent="0.25">
      <c r="A17" s="7" t="s">
        <v>50</v>
      </c>
      <c r="B17" s="27" t="s">
        <v>403</v>
      </c>
      <c r="C17" s="7" t="s">
        <v>20</v>
      </c>
      <c r="D17" s="7" t="s">
        <v>21</v>
      </c>
      <c r="E17" s="7">
        <v>0</v>
      </c>
      <c r="F17" s="7" t="s">
        <v>14</v>
      </c>
      <c r="G17" s="8" t="s">
        <v>1012</v>
      </c>
      <c r="H17" s="5">
        <f t="shared" si="0"/>
        <v>53.834147058823525</v>
      </c>
      <c r="I17" s="6">
        <v>4.5999999999999999E-2</v>
      </c>
      <c r="J17" s="6">
        <v>0.25305882352941178</v>
      </c>
      <c r="K17" s="6">
        <v>0.30973529411764705</v>
      </c>
      <c r="L17" s="6">
        <v>0</v>
      </c>
      <c r="M17" s="6">
        <v>9.7382352941176462E-2</v>
      </c>
      <c r="N17" s="6">
        <v>10.24120588235294</v>
      </c>
      <c r="O17" s="6">
        <v>0</v>
      </c>
      <c r="P17" s="6">
        <v>0</v>
      </c>
      <c r="Q17" s="6">
        <v>0.41370588235294115</v>
      </c>
      <c r="R17" s="6">
        <v>0.3115</v>
      </c>
      <c r="S17" s="15">
        <v>11.689</v>
      </c>
      <c r="T17" s="15">
        <v>0</v>
      </c>
      <c r="U17" s="15">
        <v>0</v>
      </c>
      <c r="V17" s="6">
        <v>4.3615588235294114</v>
      </c>
      <c r="W17" s="6">
        <v>0.76964705882352946</v>
      </c>
      <c r="X17" s="6">
        <v>15.10235294117647</v>
      </c>
      <c r="Y17" s="6">
        <v>9.7882352941176448E-2</v>
      </c>
      <c r="Z17" s="6">
        <v>0.31735294117647056</v>
      </c>
      <c r="AA17" s="6">
        <v>0.18923529411764703</v>
      </c>
      <c r="AB17" s="6">
        <v>0.76447058823529401</v>
      </c>
      <c r="AC17" s="6">
        <v>6.5390294117647052</v>
      </c>
      <c r="AD17" s="6">
        <v>7.7647058823529409E-3</v>
      </c>
      <c r="AE17" s="6">
        <v>0.14152941176470588</v>
      </c>
      <c r="AF17" s="6">
        <v>0.11647058823529412</v>
      </c>
      <c r="AG17" s="6">
        <v>7.7147058823529402E-2</v>
      </c>
      <c r="AH17" s="6">
        <v>0.37070588235294116</v>
      </c>
      <c r="AI17" s="6">
        <v>9.008823529411765E-2</v>
      </c>
      <c r="AJ17" s="6">
        <v>1.5273235294117646</v>
      </c>
      <c r="AK17" s="4"/>
      <c r="AL17" s="4"/>
      <c r="AM17" s="4"/>
    </row>
    <row r="18" spans="1:39" x14ac:dyDescent="0.25">
      <c r="A18" s="8" t="s">
        <v>51</v>
      </c>
      <c r="B18" s="27" t="s">
        <v>404</v>
      </c>
      <c r="C18" s="8" t="s">
        <v>20</v>
      </c>
      <c r="D18" s="8" t="s">
        <v>23</v>
      </c>
      <c r="E18" s="8">
        <v>1</v>
      </c>
      <c r="F18" s="8" t="s">
        <v>14</v>
      </c>
      <c r="G18" s="8" t="s">
        <v>1012</v>
      </c>
      <c r="H18" s="5">
        <f t="shared" si="0"/>
        <v>186.85447058823524</v>
      </c>
      <c r="I18" s="6">
        <v>0.18167647058823527</v>
      </c>
      <c r="J18" s="6">
        <v>0.69</v>
      </c>
      <c r="K18" s="6">
        <v>0.77608823529411752</v>
      </c>
      <c r="L18" s="6">
        <v>0</v>
      </c>
      <c r="M18" s="6">
        <v>0.22926470588235293</v>
      </c>
      <c r="N18" s="6">
        <v>32.355529411764707</v>
      </c>
      <c r="O18" s="6">
        <v>2.5533529411764704</v>
      </c>
      <c r="P18" s="6">
        <v>2.7913235294117644</v>
      </c>
      <c r="Q18" s="6">
        <v>1.3183235294117646</v>
      </c>
      <c r="R18" s="6">
        <v>0.67655882352941177</v>
      </c>
      <c r="S18" s="16">
        <v>27.427705882352939</v>
      </c>
      <c r="T18" s="16">
        <v>1.8441176470588235E-2</v>
      </c>
      <c r="U18" s="16">
        <v>2.2029411764705881E-2</v>
      </c>
      <c r="V18" s="6">
        <v>56.742735294117644</v>
      </c>
      <c r="W18" s="6">
        <v>3.2884705882352936</v>
      </c>
      <c r="X18" s="6">
        <v>39.084823529411764</v>
      </c>
      <c r="Y18" s="6">
        <v>0.21870588235294114</v>
      </c>
      <c r="Z18" s="6">
        <v>1.1415294117647059</v>
      </c>
      <c r="AA18" s="6">
        <v>0.46273529411764702</v>
      </c>
      <c r="AB18" s="6">
        <v>0.47776470588235292</v>
      </c>
      <c r="AC18" s="6">
        <v>12.047352941176468</v>
      </c>
      <c r="AD18" s="6">
        <v>1.8352941176470586E-2</v>
      </c>
      <c r="AE18" s="6">
        <v>0.32299999999999995</v>
      </c>
      <c r="AF18" s="6">
        <v>0.26385294117647057</v>
      </c>
      <c r="AG18" s="6">
        <v>9.2499999999999985E-2</v>
      </c>
      <c r="AH18" s="6">
        <v>0.76035294117647056</v>
      </c>
      <c r="AI18" s="6">
        <v>0.15599999999999997</v>
      </c>
      <c r="AJ18" s="6">
        <v>2.7359999999999998</v>
      </c>
      <c r="AK18" s="4"/>
      <c r="AL18" s="4"/>
      <c r="AM18" s="4"/>
    </row>
    <row r="19" spans="1:39" x14ac:dyDescent="0.25">
      <c r="A19" s="8" t="s">
        <v>52</v>
      </c>
      <c r="B19" s="27" t="s">
        <v>405</v>
      </c>
      <c r="C19" s="8" t="s">
        <v>20</v>
      </c>
      <c r="D19" s="8" t="s">
        <v>25</v>
      </c>
      <c r="E19" s="8">
        <v>1</v>
      </c>
      <c r="F19" s="8" t="s">
        <v>14</v>
      </c>
      <c r="G19" s="8" t="s">
        <v>1012</v>
      </c>
      <c r="H19" s="5">
        <f t="shared" si="0"/>
        <v>253.18223529411767</v>
      </c>
      <c r="I19" s="6">
        <v>0.17505882352941177</v>
      </c>
      <c r="J19" s="6">
        <v>0.65549999999999997</v>
      </c>
      <c r="K19" s="6">
        <v>0.81835294117647051</v>
      </c>
      <c r="L19" s="6">
        <v>0</v>
      </c>
      <c r="M19" s="6">
        <v>0.19279411764705881</v>
      </c>
      <c r="N19" s="6">
        <v>40.399352941176467</v>
      </c>
      <c r="O19" s="6">
        <v>4.2612647058823532</v>
      </c>
      <c r="P19" s="6">
        <v>5.3610882352941172</v>
      </c>
      <c r="Q19" s="6">
        <v>2.0240294117647055</v>
      </c>
      <c r="R19" s="6">
        <v>0.55794117647058816</v>
      </c>
      <c r="S19" s="16">
        <v>25.039411764705882</v>
      </c>
      <c r="T19" s="16">
        <v>0</v>
      </c>
      <c r="U19" s="16">
        <v>0</v>
      </c>
      <c r="V19" s="6">
        <v>117.60161764705882</v>
      </c>
      <c r="W19" s="6">
        <v>5.3380588235294111</v>
      </c>
      <c r="X19" s="6">
        <v>33.063264705882347</v>
      </c>
      <c r="Y19" s="6">
        <v>0.16388235294117645</v>
      </c>
      <c r="Z19" s="6">
        <v>1.3159117647058822</v>
      </c>
      <c r="AA19" s="6">
        <v>0.74702941176470583</v>
      </c>
      <c r="AB19" s="6">
        <v>0.56532352941176467</v>
      </c>
      <c r="AC19" s="6">
        <v>10.955764705882352</v>
      </c>
      <c r="AD19" s="6">
        <v>7.6764705882352933E-3</v>
      </c>
      <c r="AE19" s="6">
        <v>0.39864705882352935</v>
      </c>
      <c r="AF19" s="6">
        <v>0.20529411764705882</v>
      </c>
      <c r="AG19" s="6">
        <v>6.8882352941176464E-2</v>
      </c>
      <c r="AH19" s="6">
        <v>0.86370588235294099</v>
      </c>
      <c r="AI19" s="6">
        <v>0.17026470588235293</v>
      </c>
      <c r="AJ19" s="6">
        <v>2.2321176470588235</v>
      </c>
      <c r="AK19" s="4"/>
      <c r="AL19" s="4"/>
      <c r="AM19" s="4"/>
    </row>
    <row r="20" spans="1:39" x14ac:dyDescent="0.25">
      <c r="A20" s="7" t="s">
        <v>53</v>
      </c>
      <c r="B20" s="27" t="s">
        <v>406</v>
      </c>
      <c r="C20" s="7" t="s">
        <v>20</v>
      </c>
      <c r="D20" s="7" t="s">
        <v>27</v>
      </c>
      <c r="E20" s="7">
        <v>1</v>
      </c>
      <c r="F20" s="7" t="s">
        <v>14</v>
      </c>
      <c r="G20" s="8" t="s">
        <v>1012</v>
      </c>
      <c r="H20" s="5">
        <f t="shared" si="0"/>
        <v>89.601941176470589</v>
      </c>
      <c r="I20" s="6">
        <v>6.3764705882352946E-2</v>
      </c>
      <c r="J20" s="6">
        <v>0.26273529411764707</v>
      </c>
      <c r="K20" s="6">
        <v>0.22194117647058823</v>
      </c>
      <c r="L20" s="6">
        <v>0</v>
      </c>
      <c r="M20" s="6">
        <v>6.0147058823529408E-2</v>
      </c>
      <c r="N20" s="6">
        <v>14.809852941176469</v>
      </c>
      <c r="O20" s="6">
        <v>2.0027058823529411</v>
      </c>
      <c r="P20" s="6">
        <v>1.1543235294117646</v>
      </c>
      <c r="Q20" s="6">
        <v>0.63935294117647046</v>
      </c>
      <c r="R20" s="6">
        <v>0.17670588235294116</v>
      </c>
      <c r="S20" s="15">
        <v>11.071</v>
      </c>
      <c r="T20" s="15">
        <v>2.5000000000000001E-2</v>
      </c>
      <c r="U20" s="15">
        <v>0</v>
      </c>
      <c r="V20" s="6">
        <v>32.171852941176468</v>
      </c>
      <c r="W20" s="6">
        <v>1.7830294117647059</v>
      </c>
      <c r="X20" s="6">
        <v>15.657588235294115</v>
      </c>
      <c r="Y20" s="6">
        <v>8.7411764705882342E-2</v>
      </c>
      <c r="Z20" s="6">
        <v>0.48732352941176466</v>
      </c>
      <c r="AA20" s="6">
        <v>0.20935294117647055</v>
      </c>
      <c r="AB20" s="6">
        <v>0.17285294117647057</v>
      </c>
      <c r="AC20" s="6">
        <v>6.2822647058823522</v>
      </c>
      <c r="AD20" s="6">
        <v>3.3235294117647052E-3</v>
      </c>
      <c r="AE20" s="6">
        <v>0.14541176470588232</v>
      </c>
      <c r="AF20" s="6">
        <v>0.12182352941176469</v>
      </c>
      <c r="AG20" s="6">
        <v>3.0058823529411763E-2</v>
      </c>
      <c r="AH20" s="6">
        <v>0.34326470588235292</v>
      </c>
      <c r="AI20" s="6">
        <v>7.7882352941176458E-2</v>
      </c>
      <c r="AJ20" s="6">
        <v>1.540970588235294</v>
      </c>
      <c r="AK20" s="4"/>
      <c r="AL20" s="4"/>
      <c r="AM20" s="4"/>
    </row>
    <row r="21" spans="1:39" x14ac:dyDescent="0.25">
      <c r="A21" s="7" t="s">
        <v>54</v>
      </c>
      <c r="B21" s="27" t="s">
        <v>407</v>
      </c>
      <c r="C21" s="7" t="s">
        <v>20</v>
      </c>
      <c r="D21" s="7" t="s">
        <v>29</v>
      </c>
      <c r="E21" s="7">
        <v>1</v>
      </c>
      <c r="F21" s="7" t="s">
        <v>14</v>
      </c>
      <c r="G21" s="8" t="s">
        <v>1012</v>
      </c>
      <c r="H21" s="5">
        <f t="shared" si="0"/>
        <v>94.151058823529382</v>
      </c>
      <c r="I21" s="6">
        <v>4.452941176470588E-2</v>
      </c>
      <c r="J21" s="6">
        <v>0.1957647058823529</v>
      </c>
      <c r="K21" s="6">
        <v>0.28461764705882348</v>
      </c>
      <c r="L21" s="6">
        <v>0</v>
      </c>
      <c r="M21" s="6">
        <v>9.849999999999999E-2</v>
      </c>
      <c r="N21" s="6">
        <v>14.838735294117646</v>
      </c>
      <c r="O21" s="6">
        <v>0.91279411764705876</v>
      </c>
      <c r="P21" s="6">
        <v>1.4247647058823529</v>
      </c>
      <c r="Q21" s="6">
        <v>0.72935294117647054</v>
      </c>
      <c r="R21" s="6">
        <v>0.24838235294117644</v>
      </c>
      <c r="S21" s="15">
        <v>10.679</v>
      </c>
      <c r="T21" s="15">
        <v>0</v>
      </c>
      <c r="U21" s="15">
        <v>0</v>
      </c>
      <c r="V21" s="6">
        <v>37.337647058823528</v>
      </c>
      <c r="W21" s="6">
        <v>1.9396470588235291</v>
      </c>
      <c r="X21" s="6">
        <v>17.474588235294117</v>
      </c>
      <c r="Y21" s="6">
        <v>8.0823529411764697E-2</v>
      </c>
      <c r="Z21" s="6">
        <v>0.62802941176470584</v>
      </c>
      <c r="AA21" s="6">
        <v>0.29555882352941171</v>
      </c>
      <c r="AB21" s="6">
        <v>0.32832352941176468</v>
      </c>
      <c r="AC21" s="6">
        <v>4.7089411764705877</v>
      </c>
      <c r="AD21" s="6">
        <v>0</v>
      </c>
      <c r="AE21" s="6">
        <v>0.1596176470588235</v>
      </c>
      <c r="AF21" s="6">
        <v>8.4911764705882339E-2</v>
      </c>
      <c r="AG21" s="6">
        <v>4.2117647058823524E-2</v>
      </c>
      <c r="AH21" s="6">
        <v>0.33141176470588235</v>
      </c>
      <c r="AI21" s="6">
        <v>6.591176470588235E-2</v>
      </c>
      <c r="AJ21" s="6">
        <v>1.2170882352941177</v>
      </c>
      <c r="AK21" s="4"/>
      <c r="AL21" s="4"/>
      <c r="AM21" s="4"/>
    </row>
    <row r="22" spans="1:39" x14ac:dyDescent="0.25">
      <c r="A22" s="7" t="s">
        <v>55</v>
      </c>
      <c r="B22" s="27" t="s">
        <v>408</v>
      </c>
      <c r="C22" s="7" t="s">
        <v>20</v>
      </c>
      <c r="D22" s="7" t="s">
        <v>31</v>
      </c>
      <c r="E22" s="7">
        <v>1</v>
      </c>
      <c r="F22" s="7" t="s">
        <v>14</v>
      </c>
      <c r="G22" s="8" t="s">
        <v>1012</v>
      </c>
      <c r="H22" s="5">
        <f t="shared" si="0"/>
        <v>148.97932352941169</v>
      </c>
      <c r="I22" s="6">
        <v>4.1294117647058821E-2</v>
      </c>
      <c r="J22" s="6">
        <v>0.25008823529411761</v>
      </c>
      <c r="K22" s="6">
        <v>0.30588235294117644</v>
      </c>
      <c r="L22" s="6">
        <v>0</v>
      </c>
      <c r="M22" s="6">
        <v>9.9764705882352936E-2</v>
      </c>
      <c r="N22" s="6">
        <v>22.120147058823527</v>
      </c>
      <c r="O22" s="6">
        <v>2.5740294117647058</v>
      </c>
      <c r="P22" s="6">
        <v>3.4634705882352939</v>
      </c>
      <c r="Q22" s="6">
        <v>1.1872352941176469</v>
      </c>
      <c r="R22" s="6">
        <v>0.28758823529411764</v>
      </c>
      <c r="S22" s="15">
        <v>12.542999999999999</v>
      </c>
      <c r="T22" s="15">
        <v>0</v>
      </c>
      <c r="U22" s="15">
        <v>0</v>
      </c>
      <c r="V22" s="6">
        <v>71.574441176470586</v>
      </c>
      <c r="W22" s="6">
        <v>3.3220588235294115</v>
      </c>
      <c r="X22" s="6">
        <v>21.983323529411763</v>
      </c>
      <c r="Y22" s="6">
        <v>8.1764705882352934E-2</v>
      </c>
      <c r="Z22" s="6">
        <v>1.0515294117647058</v>
      </c>
      <c r="AA22" s="6">
        <v>0.39055882352941168</v>
      </c>
      <c r="AB22" s="6">
        <v>0.35047058823529409</v>
      </c>
      <c r="AC22" s="6">
        <v>5.3124117647058817</v>
      </c>
      <c r="AD22" s="6">
        <v>2.852941176470588E-3</v>
      </c>
      <c r="AE22" s="6">
        <v>0.18205882352941175</v>
      </c>
      <c r="AF22" s="6">
        <v>8.9411764705882343E-2</v>
      </c>
      <c r="AG22" s="6">
        <v>3.091176470588235E-2</v>
      </c>
      <c r="AH22" s="6">
        <v>0.34294117647058819</v>
      </c>
      <c r="AI22" s="6">
        <v>6.9735294117647048E-2</v>
      </c>
      <c r="AJ22" s="6">
        <v>1.3223529411764705</v>
      </c>
      <c r="AK22" s="4"/>
      <c r="AL22" s="4"/>
      <c r="AM22" s="4"/>
    </row>
    <row r="23" spans="1:39" x14ac:dyDescent="0.25">
      <c r="A23" s="8" t="s">
        <v>56</v>
      </c>
      <c r="B23" s="27" t="s">
        <v>409</v>
      </c>
      <c r="C23" s="8" t="s">
        <v>20</v>
      </c>
      <c r="D23" s="8" t="s">
        <v>33</v>
      </c>
      <c r="E23" s="8">
        <v>2</v>
      </c>
      <c r="F23" s="8" t="s">
        <v>14</v>
      </c>
      <c r="G23" s="8" t="s">
        <v>1012</v>
      </c>
      <c r="H23" s="5">
        <f t="shared" si="0"/>
        <v>281.90535294117649</v>
      </c>
      <c r="I23" s="6">
        <v>0.17741176470588232</v>
      </c>
      <c r="J23" s="6">
        <v>1.3287647058823528</v>
      </c>
      <c r="K23" s="6">
        <v>0.69188235294117639</v>
      </c>
      <c r="L23" s="6">
        <v>0</v>
      </c>
      <c r="M23" s="6">
        <v>0.22997058823529409</v>
      </c>
      <c r="N23" s="6">
        <v>44.88773529411764</v>
      </c>
      <c r="O23" s="6">
        <v>5.5247058823529409</v>
      </c>
      <c r="P23" s="6">
        <v>3.5220294117647053</v>
      </c>
      <c r="Q23" s="6">
        <v>2.0420294117647058</v>
      </c>
      <c r="R23" s="6">
        <v>0.56347058823529406</v>
      </c>
      <c r="S23" s="16">
        <v>30.885852941176466</v>
      </c>
      <c r="T23" s="16">
        <v>9.5617647058823516E-2</v>
      </c>
      <c r="U23" s="16">
        <v>6.591176470588235E-2</v>
      </c>
      <c r="V23" s="6">
        <v>119.43758823529411</v>
      </c>
      <c r="W23" s="6">
        <v>5.6470294117647057</v>
      </c>
      <c r="X23" s="6">
        <v>42.894235294117642</v>
      </c>
      <c r="Y23" s="6">
        <v>0.2064705882352941</v>
      </c>
      <c r="Z23" s="6">
        <v>1.6984411764705882</v>
      </c>
      <c r="AA23" s="6">
        <v>0.77041176470588235</v>
      </c>
      <c r="AB23" s="6">
        <v>0.88208823529411762</v>
      </c>
      <c r="AC23" s="6">
        <v>15.245999999999997</v>
      </c>
      <c r="AD23" s="6">
        <v>1.764705882352941E-4</v>
      </c>
      <c r="AE23" s="6">
        <v>0.47435294117647059</v>
      </c>
      <c r="AF23" s="6">
        <v>0.29764705882352938</v>
      </c>
      <c r="AG23" s="6">
        <v>8.9911764705882344E-2</v>
      </c>
      <c r="AH23" s="6">
        <v>0.6923529411764705</v>
      </c>
      <c r="AI23" s="6">
        <v>0.18497058823529411</v>
      </c>
      <c r="AJ23" s="6">
        <v>3.3682941176470584</v>
      </c>
      <c r="AK23" s="4"/>
      <c r="AL23" s="4"/>
      <c r="AM23" s="4"/>
    </row>
    <row r="24" spans="1:39" x14ac:dyDescent="0.25">
      <c r="A24" s="8" t="s">
        <v>57</v>
      </c>
      <c r="B24" s="27" t="s">
        <v>410</v>
      </c>
      <c r="C24" s="8" t="s">
        <v>20</v>
      </c>
      <c r="D24" s="8" t="s">
        <v>35</v>
      </c>
      <c r="E24" s="8">
        <v>2</v>
      </c>
      <c r="F24" s="8" t="s">
        <v>14</v>
      </c>
      <c r="G24" s="8" t="s">
        <v>1012</v>
      </c>
      <c r="H24" s="5">
        <f t="shared" si="0"/>
        <v>145.7534411764706</v>
      </c>
      <c r="I24" s="6">
        <v>0.16838235294117646</v>
      </c>
      <c r="J24" s="6">
        <v>0.71305882352941163</v>
      </c>
      <c r="K24" s="6">
        <v>0.90361764705882341</v>
      </c>
      <c r="L24" s="6">
        <v>0</v>
      </c>
      <c r="M24" s="6">
        <v>0.28591176470588237</v>
      </c>
      <c r="N24" s="6">
        <v>31.433294117647055</v>
      </c>
      <c r="O24" s="6">
        <v>0.80061764705882343</v>
      </c>
      <c r="P24" s="6">
        <v>0.59373529411764703</v>
      </c>
      <c r="Q24" s="6">
        <v>0.88423529411764701</v>
      </c>
      <c r="R24" s="6">
        <v>0.47094117647058825</v>
      </c>
      <c r="S24" s="16">
        <v>24.846499999999999</v>
      </c>
      <c r="T24" s="16">
        <v>6.3323529411764709E-2</v>
      </c>
      <c r="U24" s="16">
        <v>6.2441176470588229E-2</v>
      </c>
      <c r="V24" s="6">
        <v>23.441941176470586</v>
      </c>
      <c r="W24" s="6">
        <v>2.2744117647058824</v>
      </c>
      <c r="X24" s="6">
        <v>35.190176470588234</v>
      </c>
      <c r="Y24" s="6">
        <v>0.22376470588235292</v>
      </c>
      <c r="Z24" s="6">
        <v>1.0960882352941175</v>
      </c>
      <c r="AA24" s="6">
        <v>0.36461764705882349</v>
      </c>
      <c r="AB24" s="6">
        <v>0.35214705882352937</v>
      </c>
      <c r="AC24" s="6">
        <v>16.846705882352939</v>
      </c>
      <c r="AD24" s="6">
        <v>2.2676470588235291E-2</v>
      </c>
      <c r="AE24" s="6">
        <v>0.377735294117647</v>
      </c>
      <c r="AF24" s="6">
        <v>0.31294117647058817</v>
      </c>
      <c r="AG24" s="6">
        <v>9.6441176470588225E-2</v>
      </c>
      <c r="AH24" s="6">
        <v>0.67691176470588232</v>
      </c>
      <c r="AI24" s="6">
        <v>0.22882352941176468</v>
      </c>
      <c r="AJ24" s="6">
        <v>3.0219999999999998</v>
      </c>
      <c r="AK24" s="4"/>
      <c r="AL24" s="4"/>
      <c r="AM24" s="4"/>
    </row>
    <row r="25" spans="1:39" x14ac:dyDescent="0.25">
      <c r="A25" s="7" t="s">
        <v>58</v>
      </c>
      <c r="B25" s="27" t="s">
        <v>411</v>
      </c>
      <c r="C25" s="7" t="s">
        <v>20</v>
      </c>
      <c r="D25" s="7" t="s">
        <v>37</v>
      </c>
      <c r="E25" s="7">
        <v>2</v>
      </c>
      <c r="F25" s="7" t="s">
        <v>14</v>
      </c>
      <c r="G25" s="8" t="s">
        <v>1012</v>
      </c>
      <c r="H25" s="5">
        <f t="shared" si="0"/>
        <v>108.71929411764707</v>
      </c>
      <c r="I25" s="6">
        <v>8.6117647058823521E-2</v>
      </c>
      <c r="J25" s="6">
        <v>0.2492941176470588</v>
      </c>
      <c r="K25" s="6">
        <v>0.25891176470588234</v>
      </c>
      <c r="L25" s="6">
        <v>0</v>
      </c>
      <c r="M25" s="6">
        <v>7.5264705882352942E-2</v>
      </c>
      <c r="N25" s="6">
        <v>16.962941176470586</v>
      </c>
      <c r="O25" s="6">
        <v>1.604705882352941</v>
      </c>
      <c r="P25" s="6">
        <v>0.75370588235294111</v>
      </c>
      <c r="Q25" s="6">
        <v>0.83714705882352936</v>
      </c>
      <c r="R25" s="6">
        <v>0.30705882352941177</v>
      </c>
      <c r="S25" s="15">
        <v>13.378</v>
      </c>
      <c r="T25" s="15">
        <v>0</v>
      </c>
      <c r="U25" s="15">
        <v>0</v>
      </c>
      <c r="V25" s="6">
        <v>43.524676470588233</v>
      </c>
      <c r="W25" s="6">
        <v>2.2008823529411763</v>
      </c>
      <c r="X25" s="6">
        <v>18.678529411764703</v>
      </c>
      <c r="Y25" s="6">
        <v>9.6529411764705877E-2</v>
      </c>
      <c r="Z25" s="6">
        <v>0.52308823529411763</v>
      </c>
      <c r="AA25" s="6">
        <v>0.27147058823529407</v>
      </c>
      <c r="AB25" s="6">
        <v>0.22852941176470587</v>
      </c>
      <c r="AC25" s="6">
        <v>6.3207352941176467</v>
      </c>
      <c r="AD25" s="6">
        <v>4.0882352941176469E-3</v>
      </c>
      <c r="AE25" s="6">
        <v>0.16305882352941176</v>
      </c>
      <c r="AF25" s="6">
        <v>0.12105882352941176</v>
      </c>
      <c r="AG25" s="6">
        <v>2.9970588235294113E-2</v>
      </c>
      <c r="AH25" s="6">
        <v>0.37264705882352939</v>
      </c>
      <c r="AI25" s="6">
        <v>7.8088235294117639E-2</v>
      </c>
      <c r="AJ25" s="6">
        <v>1.5927941176470586</v>
      </c>
      <c r="AK25" s="4"/>
      <c r="AL25" s="4"/>
      <c r="AM25" s="4"/>
    </row>
    <row r="26" spans="1:39" x14ac:dyDescent="0.25">
      <c r="A26" s="7" t="s">
        <v>59</v>
      </c>
      <c r="B26" s="27" t="s">
        <v>412</v>
      </c>
      <c r="C26" s="7" t="s">
        <v>20</v>
      </c>
      <c r="D26" s="7" t="s">
        <v>39</v>
      </c>
      <c r="E26" s="7">
        <v>2</v>
      </c>
      <c r="F26" s="7" t="s">
        <v>14</v>
      </c>
      <c r="G26" s="8" t="s">
        <v>1012</v>
      </c>
      <c r="H26" s="5">
        <f t="shared" si="0"/>
        <v>115.57826470588236</v>
      </c>
      <c r="I26" s="6">
        <v>9.1764705882352929E-2</v>
      </c>
      <c r="J26" s="6">
        <v>0.33123529411764702</v>
      </c>
      <c r="K26" s="6">
        <v>1.4382647058823528</v>
      </c>
      <c r="L26" s="6">
        <v>0</v>
      </c>
      <c r="M26" s="6">
        <v>0.10858823529411764</v>
      </c>
      <c r="N26" s="6">
        <v>25.773088235294118</v>
      </c>
      <c r="O26" s="6">
        <v>0.26738235294117646</v>
      </c>
      <c r="P26" s="6">
        <v>0.37629411764705878</v>
      </c>
      <c r="Q26" s="6">
        <v>3.6951176470588232</v>
      </c>
      <c r="R26" s="6">
        <v>0.32305882352941173</v>
      </c>
      <c r="S26" s="15">
        <v>15.429</v>
      </c>
      <c r="T26" s="15">
        <v>0</v>
      </c>
      <c r="U26" s="15">
        <v>1.9E-2</v>
      </c>
      <c r="V26" s="6">
        <v>28.869735294117643</v>
      </c>
      <c r="W26" s="6">
        <v>2.0295000000000001</v>
      </c>
      <c r="X26" s="6">
        <v>25.768617647058818</v>
      </c>
      <c r="Y26" s="6">
        <v>0.12876470588235292</v>
      </c>
      <c r="Z26" s="6">
        <v>0.68823529411764706</v>
      </c>
      <c r="AA26" s="6">
        <v>0.21667647058823528</v>
      </c>
      <c r="AB26" s="6">
        <v>0.3831470588235294</v>
      </c>
      <c r="AC26" s="6">
        <v>6.9682058823529411</v>
      </c>
      <c r="AD26" s="6">
        <v>1.3294117647058821E-2</v>
      </c>
      <c r="AE26" s="6">
        <v>0.1583235294117647</v>
      </c>
      <c r="AF26" s="6">
        <v>0.12952941176470589</v>
      </c>
      <c r="AG26" s="6">
        <v>4.1999999999999996E-2</v>
      </c>
      <c r="AH26" s="6">
        <v>0.47655882352941176</v>
      </c>
      <c r="AI26" s="6">
        <v>9.2617647058823513E-2</v>
      </c>
      <c r="AJ26" s="6">
        <v>1.7602647058823526</v>
      </c>
      <c r="AK26" s="4"/>
      <c r="AL26" s="4"/>
      <c r="AM26" s="4"/>
    </row>
    <row r="27" spans="1:39" x14ac:dyDescent="0.25">
      <c r="A27" s="7" t="s">
        <v>60</v>
      </c>
      <c r="B27" s="27" t="s">
        <v>413</v>
      </c>
      <c r="C27" s="7" t="s">
        <v>20</v>
      </c>
      <c r="D27" s="7" t="s">
        <v>41</v>
      </c>
      <c r="E27" s="7">
        <v>2</v>
      </c>
      <c r="F27" s="7" t="s">
        <v>14</v>
      </c>
      <c r="G27" s="8" t="s">
        <v>1012</v>
      </c>
      <c r="H27" s="5">
        <f t="shared" si="0"/>
        <v>103.64838235294117</v>
      </c>
      <c r="I27" s="6">
        <v>6.2647058823529403E-2</v>
      </c>
      <c r="J27" s="6">
        <v>0.24091176470588233</v>
      </c>
      <c r="K27" s="6">
        <v>0.21544117647058819</v>
      </c>
      <c r="L27" s="6">
        <v>0</v>
      </c>
      <c r="M27" s="6">
        <v>8.5794117647058826E-2</v>
      </c>
      <c r="N27" s="6">
        <v>15.065088235294118</v>
      </c>
      <c r="O27" s="6">
        <v>0.7629999999999999</v>
      </c>
      <c r="P27" s="6">
        <v>1.2336470588235293</v>
      </c>
      <c r="Q27" s="6">
        <v>0.5595</v>
      </c>
      <c r="R27" s="6">
        <v>0.26570588235294118</v>
      </c>
      <c r="S27" s="15">
        <v>11.945</v>
      </c>
      <c r="T27" s="15">
        <v>0</v>
      </c>
      <c r="U27" s="15">
        <v>2.1999999999999999E-2</v>
      </c>
      <c r="V27" s="6">
        <v>42.939264705882344</v>
      </c>
      <c r="W27" s="6">
        <v>2.214</v>
      </c>
      <c r="X27" s="6">
        <v>18.777441176470589</v>
      </c>
      <c r="Y27" s="6">
        <v>7.8970588235294112E-2</v>
      </c>
      <c r="Z27" s="6">
        <v>0.70829411764705874</v>
      </c>
      <c r="AA27" s="6">
        <v>0.31773529411764706</v>
      </c>
      <c r="AB27" s="6">
        <v>0.5079117647058824</v>
      </c>
      <c r="AC27" s="6">
        <v>5.4624117647058821</v>
      </c>
      <c r="AD27" s="6">
        <v>8.2941176470588233E-3</v>
      </c>
      <c r="AE27" s="6">
        <v>0.17182352941176468</v>
      </c>
      <c r="AF27" s="6">
        <v>0.10135294117647058</v>
      </c>
      <c r="AG27" s="6">
        <v>4.6029411764705881E-2</v>
      </c>
      <c r="AH27" s="6">
        <v>0.36373529411764705</v>
      </c>
      <c r="AI27" s="6">
        <v>8.3294117647058824E-2</v>
      </c>
      <c r="AJ27" s="6">
        <v>1.4090882352941176</v>
      </c>
      <c r="AK27" s="4"/>
      <c r="AL27" s="4"/>
      <c r="AM27" s="4"/>
    </row>
    <row r="28" spans="1:39" x14ac:dyDescent="0.25">
      <c r="A28" s="8" t="s">
        <v>61</v>
      </c>
      <c r="B28" s="27" t="s">
        <v>414</v>
      </c>
      <c r="C28" s="8" t="s">
        <v>20</v>
      </c>
      <c r="D28" s="8" t="s">
        <v>43</v>
      </c>
      <c r="E28" s="8">
        <v>6</v>
      </c>
      <c r="F28" s="8" t="s">
        <v>14</v>
      </c>
      <c r="G28" s="8" t="s">
        <v>1012</v>
      </c>
      <c r="H28" s="5">
        <f t="shared" si="0"/>
        <v>121.58561764705883</v>
      </c>
      <c r="I28" s="6">
        <v>0.16894117647058821</v>
      </c>
      <c r="J28" s="6">
        <v>0.69414705882352934</v>
      </c>
      <c r="K28" s="6">
        <v>0.68467647058823522</v>
      </c>
      <c r="L28" s="6">
        <v>0</v>
      </c>
      <c r="M28" s="6">
        <v>0.21199999999999999</v>
      </c>
      <c r="N28" s="6">
        <v>23.082617647058822</v>
      </c>
      <c r="O28" s="6">
        <v>0.34838235294117642</v>
      </c>
      <c r="P28" s="6">
        <v>0.49958823529411767</v>
      </c>
      <c r="Q28" s="6">
        <v>0.34352941176470586</v>
      </c>
      <c r="R28" s="6">
        <v>0.60967647058823526</v>
      </c>
      <c r="S28" s="16">
        <v>26.807911764705878</v>
      </c>
      <c r="T28" s="16">
        <v>6.9764705882352937E-2</v>
      </c>
      <c r="U28" s="16">
        <v>0.12664705882352942</v>
      </c>
      <c r="V28" s="6">
        <v>13.558264705882353</v>
      </c>
      <c r="W28" s="6">
        <v>1.6404999999999998</v>
      </c>
      <c r="X28" s="6">
        <v>34.217323529411757</v>
      </c>
      <c r="Y28" s="6">
        <v>0.21244117647058822</v>
      </c>
      <c r="Z28" s="6">
        <v>0.68397058823529411</v>
      </c>
      <c r="AA28" s="6">
        <v>0.28552941176470586</v>
      </c>
      <c r="AB28" s="6">
        <v>0.29620588235294115</v>
      </c>
      <c r="AC28" s="6">
        <v>12.61020588235294</v>
      </c>
      <c r="AD28" s="6">
        <v>2.2852941176470586E-2</v>
      </c>
      <c r="AE28" s="6">
        <v>0.28691176470588231</v>
      </c>
      <c r="AF28" s="6">
        <v>0.26211764705882351</v>
      </c>
      <c r="AG28" s="6">
        <v>6.8558823529411755E-2</v>
      </c>
      <c r="AH28" s="6">
        <v>0.7478529411764705</v>
      </c>
      <c r="AI28" s="6">
        <v>0.15555882352941175</v>
      </c>
      <c r="AJ28" s="6">
        <v>2.8894411764705881</v>
      </c>
      <c r="AK28" s="4"/>
      <c r="AL28" s="4"/>
      <c r="AM28" s="4"/>
    </row>
    <row r="29" spans="1:39" x14ac:dyDescent="0.25">
      <c r="A29" s="7" t="s">
        <v>62</v>
      </c>
      <c r="B29" s="27" t="s">
        <v>415</v>
      </c>
      <c r="C29" s="7" t="s">
        <v>20</v>
      </c>
      <c r="D29" s="7" t="s">
        <v>45</v>
      </c>
      <c r="E29" s="7">
        <v>6</v>
      </c>
      <c r="F29" s="7" t="s">
        <v>14</v>
      </c>
      <c r="G29" s="8" t="s">
        <v>1012</v>
      </c>
      <c r="H29" s="5">
        <f t="shared" si="0"/>
        <v>64.552147058823536</v>
      </c>
      <c r="I29" s="6">
        <v>7.1294117647058827E-2</v>
      </c>
      <c r="J29" s="6">
        <v>0.26714705882352935</v>
      </c>
      <c r="K29" s="6">
        <v>0.27626470588235291</v>
      </c>
      <c r="L29" s="6">
        <v>0</v>
      </c>
      <c r="M29" s="6">
        <v>9.1705882352941165E-2</v>
      </c>
      <c r="N29" s="6">
        <v>11.563794117647058</v>
      </c>
      <c r="O29" s="6">
        <v>0.25035294117647056</v>
      </c>
      <c r="P29" s="6">
        <v>0.30870588235294116</v>
      </c>
      <c r="Q29" s="6">
        <v>0.27608823529411763</v>
      </c>
      <c r="R29" s="6">
        <v>0.25573529411764706</v>
      </c>
      <c r="S29" s="15">
        <v>11.484</v>
      </c>
      <c r="T29" s="15">
        <v>4.2000000000000003E-2</v>
      </c>
      <c r="U29" s="15">
        <v>5.1999999999999998E-2</v>
      </c>
      <c r="V29" s="6">
        <v>9.9432647058823527</v>
      </c>
      <c r="W29" s="6">
        <v>0.8959117647058823</v>
      </c>
      <c r="X29" s="6">
        <v>19.843882352941176</v>
      </c>
      <c r="Y29" s="6">
        <v>7.5264705882352942E-2</v>
      </c>
      <c r="Z29" s="6">
        <v>0.71838235294117636</v>
      </c>
      <c r="AA29" s="6">
        <v>0.18008823529411763</v>
      </c>
      <c r="AB29" s="6">
        <v>0.25699999999999995</v>
      </c>
      <c r="AC29" s="6">
        <v>5.6361470588235294</v>
      </c>
      <c r="AD29" s="6">
        <v>1.7647058823529408E-3</v>
      </c>
      <c r="AE29" s="6">
        <v>0.1502941176470588</v>
      </c>
      <c r="AF29" s="6">
        <v>8.6029411764705882E-2</v>
      </c>
      <c r="AG29" s="6">
        <v>4.6352941176470583E-2</v>
      </c>
      <c r="AH29" s="6">
        <v>0.32449999999999996</v>
      </c>
      <c r="AI29" s="6">
        <v>7.0794117647058827E-2</v>
      </c>
      <c r="AJ29" s="6">
        <v>1.3833823529411764</v>
      </c>
      <c r="AK29" s="4"/>
      <c r="AL29" s="4"/>
      <c r="AM29" s="4"/>
    </row>
    <row r="30" spans="1:39" x14ac:dyDescent="0.25">
      <c r="A30" s="7" t="s">
        <v>63</v>
      </c>
      <c r="B30" s="27" t="s">
        <v>416</v>
      </c>
      <c r="C30" s="7" t="s">
        <v>20</v>
      </c>
      <c r="D30" s="7" t="s">
        <v>47</v>
      </c>
      <c r="E30" s="7">
        <v>6</v>
      </c>
      <c r="F30" s="7" t="s">
        <v>14</v>
      </c>
      <c r="G30" s="8" t="s">
        <v>1012</v>
      </c>
      <c r="H30" s="5">
        <f t="shared" si="0"/>
        <v>56.583764705882345</v>
      </c>
      <c r="I30" s="6">
        <v>5.4823529411764702E-2</v>
      </c>
      <c r="J30" s="6">
        <v>0.23705882352941177</v>
      </c>
      <c r="K30" s="6">
        <v>0.23299999999999998</v>
      </c>
      <c r="L30" s="6">
        <v>0</v>
      </c>
      <c r="M30" s="6">
        <v>6.6617647058823518E-2</v>
      </c>
      <c r="N30" s="6">
        <v>10.394794117647058</v>
      </c>
      <c r="O30" s="6">
        <v>0.17152941176470585</v>
      </c>
      <c r="P30" s="6">
        <v>0.22120588235294117</v>
      </c>
      <c r="Q30" s="6">
        <v>0.28047058823529408</v>
      </c>
      <c r="R30" s="6">
        <v>0.24085294117647058</v>
      </c>
      <c r="S30" s="15">
        <v>11.930999999999999</v>
      </c>
      <c r="T30" s="15">
        <v>4.1000000000000002E-2</v>
      </c>
      <c r="U30" s="15">
        <v>4.8000000000000001E-2</v>
      </c>
      <c r="V30" s="6">
        <v>6.6121470588235294</v>
      </c>
      <c r="W30" s="6">
        <v>0.81464705882352939</v>
      </c>
      <c r="X30" s="6">
        <v>16.145882352941175</v>
      </c>
      <c r="Y30" s="6">
        <v>8.141176470588235E-2</v>
      </c>
      <c r="Z30" s="6">
        <v>0.31402941176470589</v>
      </c>
      <c r="AA30" s="6">
        <v>0.14823529411764705</v>
      </c>
      <c r="AB30" s="6">
        <v>0.14852941176470588</v>
      </c>
      <c r="AC30" s="6">
        <v>6.2256176470588223</v>
      </c>
      <c r="AD30" s="6">
        <v>4.2941176470588233E-3</v>
      </c>
      <c r="AE30" s="6">
        <v>0.14129411764705882</v>
      </c>
      <c r="AF30" s="6">
        <v>9.3764705882352931E-2</v>
      </c>
      <c r="AG30" s="6">
        <v>3.3294117647058821E-2</v>
      </c>
      <c r="AH30" s="6">
        <v>0.35970588235294115</v>
      </c>
      <c r="AI30" s="6">
        <v>8.2970588235294102E-2</v>
      </c>
      <c r="AJ30" s="6">
        <v>1.4575882352941176</v>
      </c>
      <c r="AK30" s="4"/>
      <c r="AL30" s="4"/>
      <c r="AM30" s="4"/>
    </row>
    <row r="31" spans="1:39" x14ac:dyDescent="0.25">
      <c r="A31" s="7" t="s">
        <v>64</v>
      </c>
      <c r="B31" s="27" t="s">
        <v>417</v>
      </c>
      <c r="C31" s="7" t="s">
        <v>20</v>
      </c>
      <c r="D31" s="7" t="s">
        <v>49</v>
      </c>
      <c r="E31" s="7">
        <v>6</v>
      </c>
      <c r="F31" s="7" t="s">
        <v>14</v>
      </c>
      <c r="G31" s="8" t="s">
        <v>1012</v>
      </c>
      <c r="H31" s="5">
        <f t="shared" si="0"/>
        <v>68.813441176470576</v>
      </c>
      <c r="I31" s="6">
        <v>7.0999999999999994E-2</v>
      </c>
      <c r="J31" s="6">
        <v>0.31932352941176467</v>
      </c>
      <c r="K31" s="6">
        <v>0.4318529411764705</v>
      </c>
      <c r="L31" s="6">
        <v>0</v>
      </c>
      <c r="M31" s="6">
        <v>8.43235294117647E-2</v>
      </c>
      <c r="N31" s="6">
        <v>13.548558823529412</v>
      </c>
      <c r="O31" s="6">
        <v>0.15567647058823528</v>
      </c>
      <c r="P31" s="6">
        <v>0.17008823529411762</v>
      </c>
      <c r="Q31" s="6">
        <v>0.58220588235294113</v>
      </c>
      <c r="R31" s="6">
        <v>0.26041176470588229</v>
      </c>
      <c r="S31" s="15">
        <v>12.877000000000001</v>
      </c>
      <c r="T31" s="15">
        <v>3.4000000000000002E-2</v>
      </c>
      <c r="U31" s="15">
        <v>4.2000000000000003E-2</v>
      </c>
      <c r="V31" s="6">
        <v>9.0022647058823537</v>
      </c>
      <c r="W31" s="6">
        <v>0.91041176470588225</v>
      </c>
      <c r="X31" s="6">
        <v>20.623882352941177</v>
      </c>
      <c r="Y31" s="6">
        <v>7.3411764705882343E-2</v>
      </c>
      <c r="Z31" s="6">
        <v>0.76323529411764701</v>
      </c>
      <c r="AA31" s="6">
        <v>0.17735294117647057</v>
      </c>
      <c r="AB31" s="6">
        <v>0.19391176470588234</v>
      </c>
      <c r="AC31" s="6">
        <v>6.2501764705882348</v>
      </c>
      <c r="AD31" s="6">
        <v>0</v>
      </c>
      <c r="AE31" s="6">
        <v>0.16120588235294114</v>
      </c>
      <c r="AF31" s="6">
        <v>9.3911764705882347E-2</v>
      </c>
      <c r="AG31" s="6">
        <v>4.4147058823529407E-2</v>
      </c>
      <c r="AH31" s="6">
        <v>0.33397058823529407</v>
      </c>
      <c r="AI31" s="6">
        <v>7.7205882352941166E-2</v>
      </c>
      <c r="AJ31" s="6">
        <v>1.5319117647058824</v>
      </c>
      <c r="AK31" s="4"/>
      <c r="AL31" s="4"/>
      <c r="AM31" s="4"/>
    </row>
    <row r="32" spans="1:39" x14ac:dyDescent="0.25">
      <c r="A32" s="7" t="s">
        <v>65</v>
      </c>
      <c r="B32" s="27" t="s">
        <v>418</v>
      </c>
      <c r="C32" s="7" t="s">
        <v>20</v>
      </c>
      <c r="D32" s="7" t="s">
        <v>21</v>
      </c>
      <c r="E32" s="7">
        <v>0</v>
      </c>
      <c r="F32" s="7" t="s">
        <v>15</v>
      </c>
      <c r="G32" s="8" t="s">
        <v>1012</v>
      </c>
      <c r="H32" s="5">
        <f t="shared" si="0"/>
        <v>35.930205882352929</v>
      </c>
      <c r="I32" s="6">
        <v>3.5441176470588233E-2</v>
      </c>
      <c r="J32" s="6">
        <v>0.28244117647058825</v>
      </c>
      <c r="K32" s="6">
        <v>0.30894117647058822</v>
      </c>
      <c r="L32" s="6">
        <v>0</v>
      </c>
      <c r="M32" s="6">
        <v>0.10423529411764705</v>
      </c>
      <c r="N32" s="6">
        <v>6.9847352941176464</v>
      </c>
      <c r="O32" s="6">
        <v>0</v>
      </c>
      <c r="P32" s="6">
        <v>0</v>
      </c>
      <c r="Q32" s="6">
        <v>0.52347058823529402</v>
      </c>
      <c r="R32" s="6">
        <v>0.16535294117647056</v>
      </c>
      <c r="S32" s="15">
        <v>7.407</v>
      </c>
      <c r="T32" s="15">
        <v>0</v>
      </c>
      <c r="U32" s="15">
        <v>0</v>
      </c>
      <c r="V32" s="6">
        <v>4.4572941176470584</v>
      </c>
      <c r="W32" s="6">
        <v>0.81461764705882345</v>
      </c>
      <c r="X32" s="6">
        <v>6.4798235294117639</v>
      </c>
      <c r="Y32" s="6">
        <v>6.3558823529411765E-2</v>
      </c>
      <c r="Z32" s="6">
        <v>0.1349411764705882</v>
      </c>
      <c r="AA32" s="6">
        <v>0.10655882352941175</v>
      </c>
      <c r="AB32" s="6">
        <v>9.3441176470588222E-2</v>
      </c>
      <c r="AC32" s="6">
        <v>5.344294117647058</v>
      </c>
      <c r="AD32" s="6">
        <v>3.9970588235294112E-2</v>
      </c>
      <c r="AE32" s="6">
        <v>0.12673529411764706</v>
      </c>
      <c r="AF32" s="6">
        <v>9.8970588235294102E-2</v>
      </c>
      <c r="AG32" s="6">
        <v>5.8588235294117642E-2</v>
      </c>
      <c r="AH32" s="6">
        <v>0.71173529411764702</v>
      </c>
      <c r="AI32" s="6">
        <v>0.12629411764705881</v>
      </c>
      <c r="AJ32" s="6">
        <v>1.4617647058823529</v>
      </c>
      <c r="AK32" s="4"/>
      <c r="AL32" s="4"/>
      <c r="AM32" s="4"/>
    </row>
    <row r="33" spans="1:39" x14ac:dyDescent="0.25">
      <c r="A33" s="8" t="s">
        <v>66</v>
      </c>
      <c r="B33" s="27" t="s">
        <v>419</v>
      </c>
      <c r="C33" s="8" t="s">
        <v>20</v>
      </c>
      <c r="D33" s="8" t="s">
        <v>23</v>
      </c>
      <c r="E33" s="8">
        <v>1</v>
      </c>
      <c r="F33" s="8" t="s">
        <v>15</v>
      </c>
      <c r="G33" s="8" t="s">
        <v>1012</v>
      </c>
      <c r="H33" s="5">
        <f t="shared" si="0"/>
        <v>32.111970588235302</v>
      </c>
      <c r="I33" s="6">
        <v>6.6941176470588226E-2</v>
      </c>
      <c r="J33" s="6">
        <v>0.31305882352941178</v>
      </c>
      <c r="K33" s="6">
        <v>0.2879411764705882</v>
      </c>
      <c r="L33" s="6">
        <v>0</v>
      </c>
      <c r="M33" s="6">
        <v>0.10435294117647058</v>
      </c>
      <c r="N33" s="6">
        <v>7.2001470588235286</v>
      </c>
      <c r="O33" s="6">
        <v>1.35E-2</v>
      </c>
      <c r="P33" s="6">
        <v>1.3235294117647057E-2</v>
      </c>
      <c r="Q33" s="6">
        <v>0.53499999999999992</v>
      </c>
      <c r="R33" s="6">
        <v>0.13788235294117646</v>
      </c>
      <c r="S33" s="16">
        <v>7.3519411764705875</v>
      </c>
      <c r="T33" s="16">
        <v>1.764705882352941E-4</v>
      </c>
      <c r="U33" s="16">
        <v>0</v>
      </c>
      <c r="V33" s="6">
        <v>3.700176470588235</v>
      </c>
      <c r="W33" s="6">
        <v>0.86932352941176461</v>
      </c>
      <c r="X33" s="6">
        <v>4.9788823529411763</v>
      </c>
      <c r="Y33" s="6">
        <v>6.3647058823529404E-2</v>
      </c>
      <c r="Z33" s="6">
        <v>9.1264705882352928E-2</v>
      </c>
      <c r="AA33" s="6">
        <v>0.10847058823529412</v>
      </c>
      <c r="AB33" s="6">
        <v>8.8176470588235287E-2</v>
      </c>
      <c r="AC33" s="6">
        <v>4.1847647058823529</v>
      </c>
      <c r="AD33" s="6">
        <v>4.9735294117647058E-2</v>
      </c>
      <c r="AE33" s="6">
        <v>0.12005882352941176</v>
      </c>
      <c r="AF33" s="6">
        <v>0.11626470588235294</v>
      </c>
      <c r="AG33" s="6">
        <v>4.5058823529411762E-2</v>
      </c>
      <c r="AH33" s="6">
        <v>0.56285294117647056</v>
      </c>
      <c r="AI33" s="6">
        <v>0.11520588235294117</v>
      </c>
      <c r="AJ33" s="6">
        <v>0.99391176470588227</v>
      </c>
      <c r="AK33" s="4"/>
      <c r="AL33" s="4"/>
      <c r="AM33" s="4"/>
    </row>
    <row r="34" spans="1:39" x14ac:dyDescent="0.25">
      <c r="A34" s="8" t="s">
        <v>67</v>
      </c>
      <c r="B34" s="27" t="s">
        <v>420</v>
      </c>
      <c r="C34" s="8" t="s">
        <v>20</v>
      </c>
      <c r="D34" s="8" t="s">
        <v>25</v>
      </c>
      <c r="E34" s="8">
        <v>1</v>
      </c>
      <c r="F34" s="8" t="s">
        <v>15</v>
      </c>
      <c r="G34" s="8" t="s">
        <v>1012</v>
      </c>
      <c r="H34" s="5">
        <f t="shared" si="0"/>
        <v>58.663323529411763</v>
      </c>
      <c r="I34" s="6">
        <v>8.4529411764705881E-2</v>
      </c>
      <c r="J34" s="6">
        <v>0.43738235294117644</v>
      </c>
      <c r="K34" s="6">
        <v>1.4520588235294116</v>
      </c>
      <c r="L34" s="6">
        <v>0</v>
      </c>
      <c r="M34" s="6">
        <v>0.17105882352941176</v>
      </c>
      <c r="N34" s="6">
        <v>15.879147058823527</v>
      </c>
      <c r="O34" s="6">
        <v>1.1941176470588235E-2</v>
      </c>
      <c r="P34" s="6">
        <v>1.9499999999999997E-2</v>
      </c>
      <c r="Q34" s="6">
        <v>2.1636470588235293</v>
      </c>
      <c r="R34" s="6">
        <v>0.20747058823529413</v>
      </c>
      <c r="S34" s="16">
        <v>8.579470588235294</v>
      </c>
      <c r="T34" s="16">
        <v>0</v>
      </c>
      <c r="U34" s="16">
        <v>0</v>
      </c>
      <c r="V34" s="6">
        <v>11.592294117647059</v>
      </c>
      <c r="W34" s="6">
        <v>1.2671764705882351</v>
      </c>
      <c r="X34" s="6">
        <v>9.8152352941176471</v>
      </c>
      <c r="Y34" s="6">
        <v>8.3970588235294102E-2</v>
      </c>
      <c r="Z34" s="6">
        <v>0.36714705882352938</v>
      </c>
      <c r="AA34" s="6">
        <v>0.14244117647058824</v>
      </c>
      <c r="AB34" s="6">
        <v>0.20032352941176471</v>
      </c>
      <c r="AC34" s="6">
        <v>4.2206470588235288</v>
      </c>
      <c r="AD34" s="6">
        <v>4.3411764705882351E-2</v>
      </c>
      <c r="AE34" s="6">
        <v>0.11470588235294117</v>
      </c>
      <c r="AF34" s="6">
        <v>0.10435294117647058</v>
      </c>
      <c r="AG34" s="6">
        <v>4.5588235294117645E-2</v>
      </c>
      <c r="AH34" s="6">
        <v>0.55305882352941171</v>
      </c>
      <c r="AI34" s="6">
        <v>0.10349999999999999</v>
      </c>
      <c r="AJ34" s="6">
        <v>1.0032647058823529</v>
      </c>
      <c r="AK34" s="4"/>
      <c r="AL34" s="4"/>
      <c r="AM34" s="4"/>
    </row>
    <row r="35" spans="1:39" x14ac:dyDescent="0.25">
      <c r="A35" s="7" t="s">
        <v>68</v>
      </c>
      <c r="B35" s="27" t="s">
        <v>421</v>
      </c>
      <c r="C35" s="7" t="s">
        <v>20</v>
      </c>
      <c r="D35" s="7" t="s">
        <v>27</v>
      </c>
      <c r="E35" s="7">
        <v>1</v>
      </c>
      <c r="F35" s="7" t="s">
        <v>15</v>
      </c>
      <c r="G35" s="8" t="s">
        <v>1012</v>
      </c>
      <c r="H35" s="5">
        <f t="shared" si="0"/>
        <v>32.930176470588229</v>
      </c>
      <c r="I35" s="6">
        <v>8.1470588235294114E-2</v>
      </c>
      <c r="J35" s="6">
        <v>0.34470588235294114</v>
      </c>
      <c r="K35" s="6">
        <v>0.33973529411764702</v>
      </c>
      <c r="L35" s="6">
        <v>0</v>
      </c>
      <c r="M35" s="6">
        <v>8.9676470588235288E-2</v>
      </c>
      <c r="N35" s="6">
        <v>6.938794117647058</v>
      </c>
      <c r="O35" s="6">
        <v>0</v>
      </c>
      <c r="P35" s="6">
        <v>1.7794117647058821E-2</v>
      </c>
      <c r="Q35" s="6">
        <v>0.52597058823529408</v>
      </c>
      <c r="R35" s="6">
        <v>0.12758823529411764</v>
      </c>
      <c r="S35" s="15">
        <v>6.694</v>
      </c>
      <c r="T35" s="15">
        <v>0</v>
      </c>
      <c r="U35" s="15">
        <v>0</v>
      </c>
      <c r="V35" s="6">
        <v>3.9994705882352939</v>
      </c>
      <c r="W35" s="6">
        <v>0.67385294117647054</v>
      </c>
      <c r="X35" s="6">
        <v>5.2319117647058819</v>
      </c>
      <c r="Y35" s="6">
        <v>5.223529411764706E-2</v>
      </c>
      <c r="Z35" s="6">
        <v>8.5176470588235284E-2</v>
      </c>
      <c r="AA35" s="6">
        <v>0.10091176470588234</v>
      </c>
      <c r="AB35" s="6">
        <v>8.985294117647058E-2</v>
      </c>
      <c r="AC35" s="6">
        <v>5.0223823529411762</v>
      </c>
      <c r="AD35" s="6">
        <v>1.9941176470588233E-2</v>
      </c>
      <c r="AE35" s="6">
        <v>0.12135294117647057</v>
      </c>
      <c r="AF35" s="6">
        <v>7.697058823529411E-2</v>
      </c>
      <c r="AG35" s="6">
        <v>4.9147058823529405E-2</v>
      </c>
      <c r="AH35" s="6">
        <v>0.71388235294117641</v>
      </c>
      <c r="AI35" s="6">
        <v>0.12147058823529412</v>
      </c>
      <c r="AJ35" s="6">
        <v>1.4118823529411764</v>
      </c>
      <c r="AK35" s="4"/>
      <c r="AL35" s="4"/>
      <c r="AM35" s="4"/>
    </row>
    <row r="36" spans="1:39" x14ac:dyDescent="0.25">
      <c r="A36" s="7" t="s">
        <v>69</v>
      </c>
      <c r="B36" s="27" t="s">
        <v>422</v>
      </c>
      <c r="C36" s="7" t="s">
        <v>20</v>
      </c>
      <c r="D36" s="7" t="s">
        <v>29</v>
      </c>
      <c r="E36" s="7">
        <v>1</v>
      </c>
      <c r="F36" s="7" t="s">
        <v>15</v>
      </c>
      <c r="G36" s="8" t="s">
        <v>1012</v>
      </c>
      <c r="H36" s="5">
        <f t="shared" si="0"/>
        <v>32.81302941176471</v>
      </c>
      <c r="I36" s="6">
        <v>6.5882352941176461E-2</v>
      </c>
      <c r="J36" s="6">
        <v>0.31352941176470583</v>
      </c>
      <c r="K36" s="6">
        <v>0.32805882352941174</v>
      </c>
      <c r="L36" s="6">
        <v>0</v>
      </c>
      <c r="M36" s="6">
        <v>0.10105882352941176</v>
      </c>
      <c r="N36" s="6">
        <v>6.5562941176470586</v>
      </c>
      <c r="O36" s="6">
        <v>2.029411764705882E-2</v>
      </c>
      <c r="P36" s="6">
        <v>5.6588235294117641E-2</v>
      </c>
      <c r="Q36" s="6">
        <v>0.68470588235294116</v>
      </c>
      <c r="R36" s="6">
        <v>0.12297058823529411</v>
      </c>
      <c r="S36" s="15">
        <v>6.298</v>
      </c>
      <c r="T36" s="15">
        <v>0</v>
      </c>
      <c r="U36" s="15">
        <v>0</v>
      </c>
      <c r="V36" s="6">
        <v>5.648147058823529</v>
      </c>
      <c r="W36" s="6">
        <v>0.94717647058823518</v>
      </c>
      <c r="X36" s="6">
        <v>5.437558823529411</v>
      </c>
      <c r="Y36" s="6">
        <v>6.6294117647058823E-2</v>
      </c>
      <c r="Z36" s="6">
        <v>0.12238235294117647</v>
      </c>
      <c r="AA36" s="6">
        <v>9.8852941176470588E-2</v>
      </c>
      <c r="AB36" s="6">
        <v>9.8352941176470574E-2</v>
      </c>
      <c r="AC36" s="6">
        <v>3.9435294117647057</v>
      </c>
      <c r="AD36" s="6">
        <v>5.020588235294117E-2</v>
      </c>
      <c r="AE36" s="6">
        <v>0.10688235294117646</v>
      </c>
      <c r="AF36" s="6">
        <v>0.11717647058823528</v>
      </c>
      <c r="AG36" s="6">
        <v>5.6029411764705883E-2</v>
      </c>
      <c r="AH36" s="6">
        <v>0.52917647058823525</v>
      </c>
      <c r="AI36" s="6">
        <v>9.8823529411764685E-2</v>
      </c>
      <c r="AJ36" s="6">
        <v>0.94505882352941162</v>
      </c>
      <c r="AK36" s="4"/>
      <c r="AL36" s="4"/>
      <c r="AM36" s="4"/>
    </row>
    <row r="37" spans="1:39" x14ac:dyDescent="0.25">
      <c r="A37" s="7" t="s">
        <v>70</v>
      </c>
      <c r="B37" s="27" t="s">
        <v>423</v>
      </c>
      <c r="C37" s="7" t="s">
        <v>20</v>
      </c>
      <c r="D37" s="7" t="s">
        <v>31</v>
      </c>
      <c r="E37" s="7">
        <v>1</v>
      </c>
      <c r="F37" s="7" t="s">
        <v>15</v>
      </c>
      <c r="G37" s="8" t="s">
        <v>1012</v>
      </c>
      <c r="H37" s="5">
        <f t="shared" si="0"/>
        <v>59.156705882352938</v>
      </c>
      <c r="I37" s="6">
        <v>7.4264705882352941E-2</v>
      </c>
      <c r="J37" s="6">
        <v>0.36526470588235288</v>
      </c>
      <c r="K37" s="6">
        <v>0.88649999999999995</v>
      </c>
      <c r="L37" s="6">
        <v>0</v>
      </c>
      <c r="M37" s="6">
        <v>0.12176470588235293</v>
      </c>
      <c r="N37" s="6">
        <v>13.665235294117647</v>
      </c>
      <c r="O37" s="6">
        <v>4.0999999999999995E-2</v>
      </c>
      <c r="P37" s="6">
        <v>0.12905882352941175</v>
      </c>
      <c r="Q37" s="6">
        <v>2.1069117647058824</v>
      </c>
      <c r="R37" s="6">
        <v>0.14535294117647057</v>
      </c>
      <c r="S37" s="15">
        <v>7.585</v>
      </c>
      <c r="T37" s="15">
        <v>0</v>
      </c>
      <c r="U37" s="15">
        <v>0</v>
      </c>
      <c r="V37" s="6">
        <v>16.075676470588235</v>
      </c>
      <c r="W37" s="6">
        <v>1.2931470588235294</v>
      </c>
      <c r="X37" s="6">
        <v>9.131176470588235</v>
      </c>
      <c r="Y37" s="6">
        <v>6.9352941176470589E-2</v>
      </c>
      <c r="Z37" s="6">
        <v>0.3449411764705882</v>
      </c>
      <c r="AA37" s="6">
        <v>0.14323529411764704</v>
      </c>
      <c r="AB37" s="6">
        <v>0.19073529411764706</v>
      </c>
      <c r="AC37" s="6">
        <v>4.4593529411764701</v>
      </c>
      <c r="AD37" s="6">
        <v>2.538235294117647E-2</v>
      </c>
      <c r="AE37" s="6">
        <v>0.13129411764705881</v>
      </c>
      <c r="AF37" s="6">
        <v>7.0294117647058826E-2</v>
      </c>
      <c r="AG37" s="6">
        <v>5.1999999999999998E-2</v>
      </c>
      <c r="AH37" s="6">
        <v>0.70811764705882352</v>
      </c>
      <c r="AI37" s="6">
        <v>0.14391176470588235</v>
      </c>
      <c r="AJ37" s="6">
        <v>1.1977352941176469</v>
      </c>
      <c r="AK37" s="4"/>
      <c r="AL37" s="4"/>
      <c r="AM37" s="4"/>
    </row>
    <row r="38" spans="1:39" x14ac:dyDescent="0.25">
      <c r="A38" s="8" t="s">
        <v>71</v>
      </c>
      <c r="B38" s="27" t="s">
        <v>424</v>
      </c>
      <c r="C38" s="8" t="s">
        <v>20</v>
      </c>
      <c r="D38" s="8" t="s">
        <v>33</v>
      </c>
      <c r="E38" s="8">
        <v>2</v>
      </c>
      <c r="F38" s="8" t="s">
        <v>15</v>
      </c>
      <c r="G38" s="8" t="s">
        <v>1012</v>
      </c>
      <c r="H38" s="5">
        <f t="shared" si="0"/>
        <v>41.608000000000004</v>
      </c>
      <c r="I38" s="6">
        <v>7.3352941176470579E-2</v>
      </c>
      <c r="J38" s="6">
        <v>0.28697058823529409</v>
      </c>
      <c r="K38" s="6">
        <v>0.61832352941176461</v>
      </c>
      <c r="L38" s="6">
        <v>0</v>
      </c>
      <c r="M38" s="6">
        <v>9.1852941176470582E-2</v>
      </c>
      <c r="N38" s="6">
        <v>10.268911764705882</v>
      </c>
      <c r="O38" s="6">
        <v>1.7411764705882352E-2</v>
      </c>
      <c r="P38" s="6">
        <v>1.6941176470588234E-2</v>
      </c>
      <c r="Q38" s="6">
        <v>1.470441176470588</v>
      </c>
      <c r="R38" s="6">
        <v>0.13373529411764704</v>
      </c>
      <c r="S38" s="16">
        <v>6.7525000000000004</v>
      </c>
      <c r="T38" s="16">
        <v>0</v>
      </c>
      <c r="U38" s="16">
        <v>1.764705882352941E-4</v>
      </c>
      <c r="V38" s="6">
        <v>7.5082352941176467</v>
      </c>
      <c r="W38" s="6">
        <v>0.97835294117647054</v>
      </c>
      <c r="X38" s="6">
        <v>7.6194999999999995</v>
      </c>
      <c r="Y38" s="6">
        <v>6.2911764705882348E-2</v>
      </c>
      <c r="Z38" s="6">
        <v>0.28873529411764703</v>
      </c>
      <c r="AA38" s="6">
        <v>9.8235294117647046E-2</v>
      </c>
      <c r="AB38" s="6">
        <v>0.13258823529411765</v>
      </c>
      <c r="AC38" s="6">
        <v>3.5107058823529411</v>
      </c>
      <c r="AD38" s="6">
        <v>4.255882352941176E-2</v>
      </c>
      <c r="AE38" s="6">
        <v>9.617647058823528E-2</v>
      </c>
      <c r="AF38" s="6">
        <v>0.10923529411764704</v>
      </c>
      <c r="AG38" s="6">
        <v>4.3764705882352942E-2</v>
      </c>
      <c r="AH38" s="6">
        <v>0.46797058823529408</v>
      </c>
      <c r="AI38" s="6">
        <v>0.10485294117647058</v>
      </c>
      <c r="AJ38" s="6">
        <v>0.81355882352941178</v>
      </c>
      <c r="AK38" s="4"/>
      <c r="AL38" s="4"/>
      <c r="AM38" s="4"/>
    </row>
    <row r="39" spans="1:39" x14ac:dyDescent="0.25">
      <c r="A39" s="8" t="s">
        <v>72</v>
      </c>
      <c r="B39" s="27" t="s">
        <v>425</v>
      </c>
      <c r="C39" s="8" t="s">
        <v>20</v>
      </c>
      <c r="D39" s="8" t="s">
        <v>35</v>
      </c>
      <c r="E39" s="8">
        <v>2</v>
      </c>
      <c r="F39" s="8" t="s">
        <v>15</v>
      </c>
      <c r="G39" s="8" t="s">
        <v>1012</v>
      </c>
      <c r="H39" s="5">
        <f t="shared" si="0"/>
        <v>97.844735294117669</v>
      </c>
      <c r="I39" s="6">
        <v>0.1179705882352941</v>
      </c>
      <c r="J39" s="6">
        <v>0.38508823529411756</v>
      </c>
      <c r="K39" s="6">
        <v>1.901941176470588</v>
      </c>
      <c r="L39" s="6">
        <v>0</v>
      </c>
      <c r="M39" s="6">
        <v>0.16949999999999998</v>
      </c>
      <c r="N39" s="6">
        <v>26.729470588235294</v>
      </c>
      <c r="O39" s="6">
        <v>3.4882352941176469E-2</v>
      </c>
      <c r="P39" s="6">
        <v>4.1441176470588231E-2</v>
      </c>
      <c r="Q39" s="6">
        <v>6.3208823529411751</v>
      </c>
      <c r="R39" s="6">
        <v>0.22620588235294117</v>
      </c>
      <c r="S39" s="16">
        <v>10.923117647058822</v>
      </c>
      <c r="T39" s="16">
        <v>0</v>
      </c>
      <c r="U39" s="16">
        <v>6.7941176470588229E-3</v>
      </c>
      <c r="V39" s="6">
        <v>22.395823529411764</v>
      </c>
      <c r="W39" s="6">
        <v>2.1094705882352938</v>
      </c>
      <c r="X39" s="6">
        <v>17.876617647058822</v>
      </c>
      <c r="Y39" s="6">
        <v>0.10323529411764705</v>
      </c>
      <c r="Z39" s="6">
        <v>0.81782352941176462</v>
      </c>
      <c r="AA39" s="6">
        <v>0.16867647058823529</v>
      </c>
      <c r="AB39" s="6">
        <v>0.28773529411764703</v>
      </c>
      <c r="AC39" s="6">
        <v>4.973205882352941</v>
      </c>
      <c r="AD39" s="6">
        <v>4.8117647058823522E-2</v>
      </c>
      <c r="AE39" s="6">
        <v>0.13844117647058823</v>
      </c>
      <c r="AF39" s="6">
        <v>0.12202941176470587</v>
      </c>
      <c r="AG39" s="6">
        <v>5.1382352941176462E-2</v>
      </c>
      <c r="AH39" s="6">
        <v>0.68941176470588228</v>
      </c>
      <c r="AI39" s="6">
        <v>0.12544117647058822</v>
      </c>
      <c r="AJ39" s="6">
        <v>1.0800294117647058</v>
      </c>
      <c r="AK39" s="4"/>
      <c r="AL39" s="4"/>
      <c r="AM39" s="4"/>
    </row>
    <row r="40" spans="1:39" x14ac:dyDescent="0.25">
      <c r="A40" s="7" t="s">
        <v>73</v>
      </c>
      <c r="B40" s="27" t="s">
        <v>426</v>
      </c>
      <c r="C40" s="7" t="s">
        <v>20</v>
      </c>
      <c r="D40" s="7" t="s">
        <v>37</v>
      </c>
      <c r="E40" s="7">
        <v>2</v>
      </c>
      <c r="F40" s="7" t="s">
        <v>15</v>
      </c>
      <c r="G40" s="8" t="s">
        <v>1012</v>
      </c>
      <c r="H40" s="5">
        <f t="shared" si="0"/>
        <v>23.407617647058821</v>
      </c>
      <c r="I40" s="6">
        <v>6.7764705882352935E-2</v>
      </c>
      <c r="J40" s="6">
        <v>0.3236470588235294</v>
      </c>
      <c r="K40" s="6">
        <v>0.24070588235294116</v>
      </c>
      <c r="L40" s="6">
        <v>0</v>
      </c>
      <c r="M40" s="6">
        <v>8.8088235294117648E-2</v>
      </c>
      <c r="N40" s="6">
        <v>4.5999999999999996</v>
      </c>
      <c r="O40" s="6">
        <v>0</v>
      </c>
      <c r="P40" s="6">
        <v>0</v>
      </c>
      <c r="Q40" s="6">
        <v>0.39397058823529413</v>
      </c>
      <c r="R40" s="6">
        <v>0.10364705882352941</v>
      </c>
      <c r="S40" s="15">
        <v>4.9189999999999996</v>
      </c>
      <c r="T40" s="15">
        <v>0</v>
      </c>
      <c r="U40" s="15">
        <v>0</v>
      </c>
      <c r="V40" s="6">
        <v>3.1584999999999996</v>
      </c>
      <c r="W40" s="6">
        <v>0.69838235294117634</v>
      </c>
      <c r="X40" s="6">
        <v>3.9074999999999993</v>
      </c>
      <c r="Y40" s="6">
        <v>4.9852941176470586E-2</v>
      </c>
      <c r="Z40" s="6">
        <v>6.2176470588235284E-2</v>
      </c>
      <c r="AA40" s="6">
        <v>6.6617647058823518E-2</v>
      </c>
      <c r="AB40" s="6">
        <v>7.4735294117647053E-2</v>
      </c>
      <c r="AC40" s="6">
        <v>3.1317352941176466</v>
      </c>
      <c r="AD40" s="6">
        <v>3.8999999999999993E-2</v>
      </c>
      <c r="AE40" s="6">
        <v>7.51470588235294E-2</v>
      </c>
      <c r="AF40" s="6">
        <v>9.1088235294117637E-2</v>
      </c>
      <c r="AG40" s="6">
        <v>4.1441176470588231E-2</v>
      </c>
      <c r="AH40" s="6">
        <v>0.40399999999999997</v>
      </c>
      <c r="AI40" s="6">
        <v>7.6735294117647054E-2</v>
      </c>
      <c r="AJ40" s="6">
        <v>0.79388235294117637</v>
      </c>
      <c r="AK40" s="4"/>
      <c r="AL40" s="4"/>
      <c r="AM40" s="4"/>
    </row>
    <row r="41" spans="1:39" x14ac:dyDescent="0.25">
      <c r="A41" s="7" t="s">
        <v>74</v>
      </c>
      <c r="B41" s="27" t="s">
        <v>427</v>
      </c>
      <c r="C41" s="7" t="s">
        <v>20</v>
      </c>
      <c r="D41" s="7" t="s">
        <v>39</v>
      </c>
      <c r="E41" s="7">
        <v>2</v>
      </c>
      <c r="F41" s="7" t="s">
        <v>15</v>
      </c>
      <c r="G41" s="8" t="s">
        <v>1012</v>
      </c>
      <c r="H41" s="5">
        <f t="shared" si="0"/>
        <v>29.048029411764702</v>
      </c>
      <c r="I41" s="6">
        <v>6.3705882352941168E-2</v>
      </c>
      <c r="J41" s="6">
        <v>0.28735294117647053</v>
      </c>
      <c r="K41" s="6">
        <v>0.20567647058823529</v>
      </c>
      <c r="L41" s="6">
        <v>0</v>
      </c>
      <c r="M41" s="6">
        <v>9.4941176470588237E-2</v>
      </c>
      <c r="N41" s="6">
        <v>4.8743823529411756</v>
      </c>
      <c r="O41" s="6">
        <v>0</v>
      </c>
      <c r="P41" s="6">
        <v>0</v>
      </c>
      <c r="Q41" s="6">
        <v>0.1704705882352941</v>
      </c>
      <c r="R41" s="6">
        <v>0.17270588235294115</v>
      </c>
      <c r="S41" s="15">
        <v>7.1920000000000002</v>
      </c>
      <c r="T41" s="15">
        <v>0</v>
      </c>
      <c r="U41" s="15">
        <v>0</v>
      </c>
      <c r="V41" s="6">
        <v>2.4373823529411762</v>
      </c>
      <c r="W41" s="6">
        <v>0.4925882352941176</v>
      </c>
      <c r="X41" s="6">
        <v>6.4246470588235285</v>
      </c>
      <c r="Y41" s="6">
        <v>5.070588235294117E-2</v>
      </c>
      <c r="Z41" s="6">
        <v>0.10158823529411765</v>
      </c>
      <c r="AA41" s="6">
        <v>8.4382352941176464E-2</v>
      </c>
      <c r="AB41" s="6">
        <v>6.2617647058823528E-2</v>
      </c>
      <c r="AC41" s="6">
        <v>4.4668823529411759</v>
      </c>
      <c r="AD41" s="6">
        <v>2.6794117647058822E-2</v>
      </c>
      <c r="AE41" s="6">
        <v>9.8000000000000004E-2</v>
      </c>
      <c r="AF41" s="6">
        <v>0.10205882352941176</v>
      </c>
      <c r="AG41" s="6">
        <v>4.5588235294117645E-2</v>
      </c>
      <c r="AH41" s="6">
        <v>0.42132352941176465</v>
      </c>
      <c r="AI41" s="6">
        <v>6.8794117647058825E-2</v>
      </c>
      <c r="AJ41" s="6">
        <v>1.1034411764705883</v>
      </c>
      <c r="AK41" s="4"/>
      <c r="AL41" s="4"/>
      <c r="AM41" s="4"/>
    </row>
    <row r="42" spans="1:39" x14ac:dyDescent="0.25">
      <c r="A42" s="7" t="s">
        <v>75</v>
      </c>
      <c r="B42" s="27" t="s">
        <v>428</v>
      </c>
      <c r="C42" s="7" t="s">
        <v>20</v>
      </c>
      <c r="D42" s="7" t="s">
        <v>41</v>
      </c>
      <c r="E42" s="7">
        <v>2</v>
      </c>
      <c r="F42" s="7" t="s">
        <v>15</v>
      </c>
      <c r="G42" s="8" t="s">
        <v>1012</v>
      </c>
      <c r="H42" s="5">
        <f t="shared" si="0"/>
        <v>68.870852941176466</v>
      </c>
      <c r="I42" s="6">
        <v>0.11673529411764706</v>
      </c>
      <c r="J42" s="6">
        <v>0.3448235294117647</v>
      </c>
      <c r="K42" s="6">
        <v>0.33685294117647058</v>
      </c>
      <c r="L42" s="6">
        <v>0</v>
      </c>
      <c r="M42" s="6">
        <v>0.14882352941176469</v>
      </c>
      <c r="N42" s="6">
        <v>10.005264705882352</v>
      </c>
      <c r="O42" s="6">
        <v>8.852941176470587E-2</v>
      </c>
      <c r="P42" s="6">
        <v>0.7649117647058824</v>
      </c>
      <c r="Q42" s="6">
        <v>0.70308823529411768</v>
      </c>
      <c r="R42" s="6">
        <v>0.17891176470588235</v>
      </c>
      <c r="S42" s="15">
        <v>8.8330000000000002</v>
      </c>
      <c r="T42" s="15">
        <v>0</v>
      </c>
      <c r="U42" s="15">
        <v>2.8000000000000001E-2</v>
      </c>
      <c r="V42" s="6">
        <v>28.165176470588232</v>
      </c>
      <c r="W42" s="6">
        <v>1.9019999999999999</v>
      </c>
      <c r="X42" s="6">
        <v>8.8865294117647053</v>
      </c>
      <c r="Y42" s="6">
        <v>8.0058823529411766E-2</v>
      </c>
      <c r="Z42" s="6">
        <v>0.31367647058823528</v>
      </c>
      <c r="AA42" s="6">
        <v>0.17664705882352941</v>
      </c>
      <c r="AB42" s="6">
        <v>0.25029411764705878</v>
      </c>
      <c r="AC42" s="6">
        <v>5.0249411764705876</v>
      </c>
      <c r="AD42" s="6">
        <v>5.9823529411764699E-2</v>
      </c>
      <c r="AE42" s="6">
        <v>0.16385294117647059</v>
      </c>
      <c r="AF42" s="6">
        <v>0.12835294117647059</v>
      </c>
      <c r="AG42" s="6">
        <v>0.10202941176470587</v>
      </c>
      <c r="AH42" s="6">
        <v>0.65702941176470586</v>
      </c>
      <c r="AI42" s="6">
        <v>0.16226470588235292</v>
      </c>
      <c r="AJ42" s="6">
        <v>1.249235294117647</v>
      </c>
      <c r="AK42" s="4"/>
      <c r="AL42" s="4"/>
      <c r="AM42" s="4"/>
    </row>
    <row r="43" spans="1:39" x14ac:dyDescent="0.25">
      <c r="A43" s="8" t="s">
        <v>76</v>
      </c>
      <c r="B43" s="27" t="s">
        <v>429</v>
      </c>
      <c r="C43" s="8" t="s">
        <v>20</v>
      </c>
      <c r="D43" s="8" t="s">
        <v>43</v>
      </c>
      <c r="E43" s="8">
        <v>6</v>
      </c>
      <c r="F43" s="8" t="s">
        <v>15</v>
      </c>
      <c r="G43" s="8" t="s">
        <v>1012</v>
      </c>
      <c r="H43" s="5">
        <f t="shared" si="0"/>
        <v>27.943411764705878</v>
      </c>
      <c r="I43" s="6">
        <v>6.9352941176470589E-2</v>
      </c>
      <c r="J43" s="6">
        <v>0.30367647058823527</v>
      </c>
      <c r="K43" s="6">
        <v>0.41064705882352937</v>
      </c>
      <c r="L43" s="6">
        <v>0</v>
      </c>
      <c r="M43" s="6">
        <v>9.0176470588235288E-2</v>
      </c>
      <c r="N43" s="6">
        <v>6.237176470588234</v>
      </c>
      <c r="O43" s="6">
        <v>0.14429411764705882</v>
      </c>
      <c r="P43" s="6">
        <v>9.2911764705882346E-2</v>
      </c>
      <c r="Q43" s="6">
        <v>0.37358823529411761</v>
      </c>
      <c r="R43" s="6">
        <v>0.11320588235294118</v>
      </c>
      <c r="S43" s="16">
        <v>6.0144117647058826</v>
      </c>
      <c r="T43" s="16">
        <v>2.7411764705882351E-2</v>
      </c>
      <c r="U43" s="16">
        <v>2.8441176470588234E-2</v>
      </c>
      <c r="V43" s="6">
        <v>3.7631764705882347</v>
      </c>
      <c r="W43" s="6">
        <v>0.62279411764705872</v>
      </c>
      <c r="X43" s="6">
        <v>4.568088235294117</v>
      </c>
      <c r="Y43" s="6">
        <v>4.1617647058823523E-2</v>
      </c>
      <c r="Z43" s="6">
        <v>8.614705882352941E-2</v>
      </c>
      <c r="AA43" s="6">
        <v>8.5999999999999993E-2</v>
      </c>
      <c r="AB43" s="6">
        <v>7.7882352941176458E-2</v>
      </c>
      <c r="AC43" s="6">
        <v>3.240764705882353</v>
      </c>
      <c r="AD43" s="6">
        <v>3.179411764705882E-2</v>
      </c>
      <c r="AE43" s="6">
        <v>9.3499999999999986E-2</v>
      </c>
      <c r="AF43" s="6">
        <v>8.3588235294117644E-2</v>
      </c>
      <c r="AG43" s="6">
        <v>4.2647058823529413E-2</v>
      </c>
      <c r="AH43" s="6">
        <v>0.43538235294117644</v>
      </c>
      <c r="AI43" s="6">
        <v>9.4117647058823528E-2</v>
      </c>
      <c r="AJ43" s="6">
        <v>0.77061764705882352</v>
      </c>
      <c r="AK43" s="4"/>
      <c r="AL43" s="4"/>
      <c r="AM43" s="4"/>
    </row>
    <row r="44" spans="1:39" x14ac:dyDescent="0.25">
      <c r="A44" s="7" t="s">
        <v>77</v>
      </c>
      <c r="B44" s="27" t="s">
        <v>430</v>
      </c>
      <c r="C44" s="7" t="s">
        <v>20</v>
      </c>
      <c r="D44" s="7" t="s">
        <v>45</v>
      </c>
      <c r="E44" s="7">
        <v>6</v>
      </c>
      <c r="F44" s="7" t="s">
        <v>15</v>
      </c>
      <c r="G44" s="8" t="s">
        <v>1012</v>
      </c>
      <c r="H44" s="5">
        <f t="shared" si="0"/>
        <v>39.186588235294103</v>
      </c>
      <c r="I44" s="6">
        <v>8.7647058823529411E-2</v>
      </c>
      <c r="J44" s="6">
        <v>0.33947058823529408</v>
      </c>
      <c r="K44" s="6">
        <v>0.43991176470588234</v>
      </c>
      <c r="L44" s="6">
        <v>0</v>
      </c>
      <c r="M44" s="6">
        <v>9.9058823529411755E-2</v>
      </c>
      <c r="N44" s="6">
        <v>7.96585294117647</v>
      </c>
      <c r="O44" s="6">
        <v>0.1444705882352941</v>
      </c>
      <c r="P44" s="6">
        <v>0.14576470588235294</v>
      </c>
      <c r="Q44" s="6">
        <v>0.95652941176470585</v>
      </c>
      <c r="R44" s="6">
        <v>0.14558823529411763</v>
      </c>
      <c r="S44" s="15">
        <v>7.2039999999999997</v>
      </c>
      <c r="T44" s="15">
        <v>2.4E-2</v>
      </c>
      <c r="U44" s="15">
        <v>3.2000000000000001E-2</v>
      </c>
      <c r="V44" s="6">
        <v>7.3670882352941174</v>
      </c>
      <c r="W44" s="6">
        <v>0.90876470588235281</v>
      </c>
      <c r="X44" s="6">
        <v>6.4833823529411756</v>
      </c>
      <c r="Y44" s="6">
        <v>5.8911764705882344E-2</v>
      </c>
      <c r="Z44" s="6">
        <v>0.13811764705882351</v>
      </c>
      <c r="AA44" s="6">
        <v>9.9911764705882339E-2</v>
      </c>
      <c r="AB44" s="6">
        <v>0.11055882352941175</v>
      </c>
      <c r="AC44" s="6">
        <v>4.4214999999999991</v>
      </c>
      <c r="AD44" s="6">
        <v>3.6264705882352942E-2</v>
      </c>
      <c r="AE44" s="6">
        <v>0.10547058823529412</v>
      </c>
      <c r="AF44" s="6">
        <v>0.10329411764705881</v>
      </c>
      <c r="AG44" s="6">
        <v>5.2352941176470581E-2</v>
      </c>
      <c r="AH44" s="6">
        <v>0.52038235294117641</v>
      </c>
      <c r="AI44" s="6">
        <v>9.2588235294117638E-2</v>
      </c>
      <c r="AJ44" s="6">
        <v>1.1037058823529411</v>
      </c>
      <c r="AK44" s="4"/>
      <c r="AL44" s="4"/>
      <c r="AM44" s="4"/>
    </row>
    <row r="45" spans="1:39" x14ac:dyDescent="0.25">
      <c r="A45" s="7" t="s">
        <v>78</v>
      </c>
      <c r="B45" s="27" t="s">
        <v>431</v>
      </c>
      <c r="C45" s="7" t="s">
        <v>20</v>
      </c>
      <c r="D45" s="7" t="s">
        <v>47</v>
      </c>
      <c r="E45" s="7">
        <v>6</v>
      </c>
      <c r="F45" s="7" t="s">
        <v>15</v>
      </c>
      <c r="G45" s="8" t="s">
        <v>1012</v>
      </c>
      <c r="H45" s="5">
        <f t="shared" si="0"/>
        <v>26.909558823529409</v>
      </c>
      <c r="I45" s="6">
        <v>7.7499999999999986E-2</v>
      </c>
      <c r="J45" s="6">
        <v>0.32632352941176468</v>
      </c>
      <c r="K45" s="6">
        <v>0.21285294117647058</v>
      </c>
      <c r="L45" s="6">
        <v>0</v>
      </c>
      <c r="M45" s="6">
        <v>9.5676470588235293E-2</v>
      </c>
      <c r="N45" s="6">
        <v>4.5248235294117647</v>
      </c>
      <c r="O45" s="6">
        <v>0.14335294117647057</v>
      </c>
      <c r="P45" s="6">
        <v>9.9588235294117644E-2</v>
      </c>
      <c r="Q45" s="6">
        <v>0.1434705882352941</v>
      </c>
      <c r="R45" s="6">
        <v>0.1633235294117647</v>
      </c>
      <c r="S45" s="15">
        <v>6.6379999999999999</v>
      </c>
      <c r="T45" s="15">
        <v>2.3E-2</v>
      </c>
      <c r="U45" s="15">
        <v>0</v>
      </c>
      <c r="V45" s="6">
        <v>2.5058235294117646</v>
      </c>
      <c r="W45" s="6">
        <v>0.4640294117647058</v>
      </c>
      <c r="X45" s="6">
        <v>5.4225588235294113</v>
      </c>
      <c r="Y45" s="6">
        <v>4.5735294117647055E-2</v>
      </c>
      <c r="Z45" s="6">
        <v>6.9529411764705881E-2</v>
      </c>
      <c r="AA45" s="6">
        <v>7.7941176470588222E-2</v>
      </c>
      <c r="AB45" s="6">
        <v>6.6176470588235281E-2</v>
      </c>
      <c r="AC45" s="6">
        <v>4.1356176470588233</v>
      </c>
      <c r="AD45" s="6">
        <v>2.473529411764706E-2</v>
      </c>
      <c r="AE45" s="6">
        <v>8.6823529411764702E-2</v>
      </c>
      <c r="AF45" s="6">
        <v>8.5294117647058826E-2</v>
      </c>
      <c r="AG45" s="6">
        <v>4.5705882352941173E-2</v>
      </c>
      <c r="AH45" s="6">
        <v>0.38608823529411762</v>
      </c>
      <c r="AI45" s="6">
        <v>6.4441176470588224E-2</v>
      </c>
      <c r="AJ45" s="6">
        <v>0.98114705882352937</v>
      </c>
      <c r="AK45" s="4"/>
      <c r="AL45" s="4"/>
      <c r="AM45" s="4"/>
    </row>
    <row r="46" spans="1:39" x14ac:dyDescent="0.25">
      <c r="A46" s="7" t="s">
        <v>79</v>
      </c>
      <c r="B46" s="27" t="s">
        <v>432</v>
      </c>
      <c r="C46" s="7" t="s">
        <v>20</v>
      </c>
      <c r="D46" s="7" t="s">
        <v>49</v>
      </c>
      <c r="E46" s="7">
        <v>6</v>
      </c>
      <c r="F46" s="7" t="s">
        <v>15</v>
      </c>
      <c r="G46" s="8" t="s">
        <v>1012</v>
      </c>
      <c r="H46" s="5">
        <f t="shared" si="0"/>
        <v>138.87188235294116</v>
      </c>
      <c r="I46" s="6">
        <v>0.13738235294117646</v>
      </c>
      <c r="J46" s="6">
        <v>0.46099999999999991</v>
      </c>
      <c r="K46" s="6">
        <v>2.4995294117647058</v>
      </c>
      <c r="L46" s="6">
        <v>0</v>
      </c>
      <c r="M46" s="6">
        <v>0.1769705882352941</v>
      </c>
      <c r="N46" s="6">
        <v>34.621705882352941</v>
      </c>
      <c r="O46" s="6">
        <v>0.10779411764705882</v>
      </c>
      <c r="P46" s="6">
        <v>0.27102941176470585</v>
      </c>
      <c r="Q46" s="6">
        <v>8.7564705882352936</v>
      </c>
      <c r="R46" s="6">
        <v>0.21664705882352941</v>
      </c>
      <c r="S46" s="15">
        <v>11.62</v>
      </c>
      <c r="T46" s="15">
        <v>2.1000000000000001E-2</v>
      </c>
      <c r="U46" s="15">
        <v>4.8000000000000001E-2</v>
      </c>
      <c r="V46" s="6">
        <v>43.396911764705877</v>
      </c>
      <c r="W46" s="6">
        <v>3.3436470588235294</v>
      </c>
      <c r="X46" s="6">
        <v>23.028705882352941</v>
      </c>
      <c r="Y46" s="6">
        <v>0.13385294117647059</v>
      </c>
      <c r="Z46" s="6">
        <v>1.0236470588235294</v>
      </c>
      <c r="AA46" s="6">
        <v>0.19220588235294117</v>
      </c>
      <c r="AB46" s="6">
        <v>0.48052941176470582</v>
      </c>
      <c r="AC46" s="6">
        <v>5.5284117647058819</v>
      </c>
      <c r="AD46" s="6">
        <v>5.3764705882352937E-2</v>
      </c>
      <c r="AE46" s="6">
        <v>0.14941176470588233</v>
      </c>
      <c r="AF46" s="6">
        <v>0.1341470588235294</v>
      </c>
      <c r="AG46" s="6">
        <v>7.1558823529411758E-2</v>
      </c>
      <c r="AH46" s="6">
        <v>0.80144117647058821</v>
      </c>
      <c r="AI46" s="6">
        <v>0.18144117647058822</v>
      </c>
      <c r="AJ46" s="6">
        <v>1.4146764705882351</v>
      </c>
      <c r="AK46" s="4"/>
      <c r="AL46" s="4"/>
      <c r="AM46" s="4"/>
    </row>
    <row r="47" spans="1:39" x14ac:dyDescent="0.25">
      <c r="A47" s="7" t="s">
        <v>80</v>
      </c>
      <c r="B47" s="27" t="s">
        <v>433</v>
      </c>
      <c r="C47" s="7" t="s">
        <v>20</v>
      </c>
      <c r="D47" s="7" t="s">
        <v>21</v>
      </c>
      <c r="E47" s="7">
        <v>0</v>
      </c>
      <c r="F47" s="7" t="s">
        <v>16</v>
      </c>
      <c r="G47" s="8" t="s">
        <v>1012</v>
      </c>
      <c r="H47" s="5">
        <f t="shared" si="0"/>
        <v>64.892794117647057</v>
      </c>
      <c r="I47" s="6">
        <v>3.4647058823529413E-2</v>
      </c>
      <c r="J47" s="6">
        <v>0.27320588235294113</v>
      </c>
      <c r="K47" s="6">
        <v>0.64523529411764702</v>
      </c>
      <c r="L47" s="6">
        <v>0</v>
      </c>
      <c r="M47" s="6">
        <v>0.20161764705882351</v>
      </c>
      <c r="N47" s="6">
        <v>14.092676470588234</v>
      </c>
      <c r="O47" s="6">
        <v>0</v>
      </c>
      <c r="P47" s="6">
        <v>0</v>
      </c>
      <c r="Q47" s="6">
        <v>1.3418235294117646</v>
      </c>
      <c r="R47" s="6">
        <v>0.29979411764705882</v>
      </c>
      <c r="S47" s="15">
        <v>11.558</v>
      </c>
      <c r="T47" s="15">
        <v>0</v>
      </c>
      <c r="U47" s="15">
        <v>0</v>
      </c>
      <c r="V47" s="6">
        <v>9.6747941176470569</v>
      </c>
      <c r="W47" s="6">
        <v>1.0656764705882351</v>
      </c>
      <c r="X47" s="6">
        <v>13.602882352941174</v>
      </c>
      <c r="Y47" s="6">
        <v>9.3941176470588236E-2</v>
      </c>
      <c r="Z47" s="6">
        <v>0.36314705882352938</v>
      </c>
      <c r="AA47" s="6">
        <v>0.14658823529411763</v>
      </c>
      <c r="AB47" s="6">
        <v>0.24238235294117644</v>
      </c>
      <c r="AC47" s="6">
        <v>8.1022647058823534</v>
      </c>
      <c r="AD47" s="6">
        <v>2.576470588235294E-2</v>
      </c>
      <c r="AE47" s="6">
        <v>0.14438235294117646</v>
      </c>
      <c r="AF47" s="6">
        <v>0.12414705882352939</v>
      </c>
      <c r="AG47" s="6">
        <v>5.7411764705882343E-2</v>
      </c>
      <c r="AH47" s="6">
        <v>0.57735294117647051</v>
      </c>
      <c r="AI47" s="6">
        <v>9.4117647058823528E-2</v>
      </c>
      <c r="AJ47" s="6">
        <v>2.1309411764705883</v>
      </c>
      <c r="AK47" s="4"/>
      <c r="AL47" s="4"/>
      <c r="AM47" s="4"/>
    </row>
    <row r="48" spans="1:39" x14ac:dyDescent="0.25">
      <c r="A48" s="8" t="s">
        <v>81</v>
      </c>
      <c r="B48" s="27" t="s">
        <v>434</v>
      </c>
      <c r="C48" s="8" t="s">
        <v>20</v>
      </c>
      <c r="D48" s="8" t="s">
        <v>23</v>
      </c>
      <c r="E48" s="8">
        <v>1</v>
      </c>
      <c r="F48" s="8" t="s">
        <v>16</v>
      </c>
      <c r="G48" s="8" t="s">
        <v>1012</v>
      </c>
      <c r="H48" s="5">
        <f t="shared" si="0"/>
        <v>302.190588235294</v>
      </c>
      <c r="I48" s="6">
        <v>0.16264705882352939</v>
      </c>
      <c r="J48" s="6">
        <v>0.64908823529411763</v>
      </c>
      <c r="K48" s="6">
        <v>1.3593823529411764</v>
      </c>
      <c r="L48" s="6">
        <v>0</v>
      </c>
      <c r="M48" s="6">
        <v>0.33932352941176469</v>
      </c>
      <c r="N48" s="6">
        <v>48.42197058823529</v>
      </c>
      <c r="O48" s="6">
        <v>2.0519999999999996</v>
      </c>
      <c r="P48" s="6">
        <v>6.4888235294117642</v>
      </c>
      <c r="Q48" s="6">
        <v>3.4805588235294111</v>
      </c>
      <c r="R48" s="6">
        <v>0.88373529411764706</v>
      </c>
      <c r="S48" s="16">
        <v>32.893235294117645</v>
      </c>
      <c r="T48" s="16">
        <v>1.5029411764705881E-2</v>
      </c>
      <c r="U48" s="16">
        <v>5.4911764705882347E-2</v>
      </c>
      <c r="V48" s="6">
        <v>134.17726470588232</v>
      </c>
      <c r="W48" s="6">
        <v>6.3697058823529416</v>
      </c>
      <c r="X48" s="6">
        <v>41.939499999999995</v>
      </c>
      <c r="Y48" s="6">
        <v>0.28058823529411764</v>
      </c>
      <c r="Z48" s="6">
        <v>1.706176470588235</v>
      </c>
      <c r="AA48" s="6">
        <v>0.63626470588235284</v>
      </c>
      <c r="AB48" s="6">
        <v>0.63885294117647051</v>
      </c>
      <c r="AC48" s="6">
        <v>14.242647058823529</v>
      </c>
      <c r="AD48" s="6">
        <v>3.7764705882352943E-2</v>
      </c>
      <c r="AE48" s="6">
        <v>0.34770588235294114</v>
      </c>
      <c r="AF48" s="6">
        <v>0.37455882352941172</v>
      </c>
      <c r="AG48" s="6">
        <v>7.617647058823529E-2</v>
      </c>
      <c r="AH48" s="6">
        <v>1.1230882352941176</v>
      </c>
      <c r="AI48" s="6">
        <v>0.18864705882352942</v>
      </c>
      <c r="AJ48" s="6">
        <v>3.250941176470588</v>
      </c>
      <c r="AK48" s="4"/>
      <c r="AL48" s="4"/>
      <c r="AM48" s="4"/>
    </row>
    <row r="49" spans="1:39" x14ac:dyDescent="0.25">
      <c r="A49" s="8" t="s">
        <v>82</v>
      </c>
      <c r="B49" s="27" t="s">
        <v>435</v>
      </c>
      <c r="C49" s="8" t="s">
        <v>20</v>
      </c>
      <c r="D49" s="8" t="s">
        <v>25</v>
      </c>
      <c r="E49" s="8">
        <v>1</v>
      </c>
      <c r="F49" s="8" t="s">
        <v>16</v>
      </c>
      <c r="G49" s="8" t="s">
        <v>1012</v>
      </c>
      <c r="H49" s="5">
        <f t="shared" si="0"/>
        <v>290.83667647058826</v>
      </c>
      <c r="I49" s="6">
        <v>0.17241176470588235</v>
      </c>
      <c r="J49" s="6">
        <v>0.63379411764705873</v>
      </c>
      <c r="K49" s="6">
        <v>0.58729411764705874</v>
      </c>
      <c r="L49" s="6">
        <v>0</v>
      </c>
      <c r="M49" s="6">
        <v>0.25444117647058823</v>
      </c>
      <c r="N49" s="6">
        <v>40.608823529411765</v>
      </c>
      <c r="O49" s="6">
        <v>2.1191470588235291</v>
      </c>
      <c r="P49" s="6">
        <v>7.884029411764705</v>
      </c>
      <c r="Q49" s="6">
        <v>2.2548823529411761</v>
      </c>
      <c r="R49" s="6">
        <v>0.5975588235294117</v>
      </c>
      <c r="S49" s="16">
        <v>23.52211764705882</v>
      </c>
      <c r="T49" s="16">
        <v>0</v>
      </c>
      <c r="U49" s="16">
        <v>2.138235294117647E-2</v>
      </c>
      <c r="V49" s="6">
        <v>158.08164705882351</v>
      </c>
      <c r="W49" s="6">
        <v>6.3721470588235283</v>
      </c>
      <c r="X49" s="6">
        <v>27.920264705882349</v>
      </c>
      <c r="Y49" s="6">
        <v>0.21076470588235294</v>
      </c>
      <c r="Z49" s="6">
        <v>1.4276764705882352</v>
      </c>
      <c r="AA49" s="6">
        <v>0.81320588235294111</v>
      </c>
      <c r="AB49" s="6">
        <v>0.63079411764705873</v>
      </c>
      <c r="AC49" s="6">
        <v>12.036235294117645</v>
      </c>
      <c r="AD49" s="6">
        <v>1.7470588235294116E-2</v>
      </c>
      <c r="AE49" s="6">
        <v>0.39258823529411757</v>
      </c>
      <c r="AF49" s="6">
        <v>0.28191176470588236</v>
      </c>
      <c r="AG49" s="6">
        <v>6.2823529411764709E-2</v>
      </c>
      <c r="AH49" s="6">
        <v>1.2110588235294117</v>
      </c>
      <c r="AI49" s="6">
        <v>0.18605882352941175</v>
      </c>
      <c r="AJ49" s="6">
        <v>2.5361470588235293</v>
      </c>
      <c r="AK49" s="4"/>
      <c r="AL49" s="4"/>
      <c r="AM49" s="4"/>
    </row>
    <row r="50" spans="1:39" x14ac:dyDescent="0.25">
      <c r="A50" s="7" t="s">
        <v>83</v>
      </c>
      <c r="B50" s="27" t="s">
        <v>436</v>
      </c>
      <c r="C50" s="7" t="s">
        <v>20</v>
      </c>
      <c r="D50" s="7" t="s">
        <v>27</v>
      </c>
      <c r="E50" s="7">
        <v>1</v>
      </c>
      <c r="F50" s="7" t="s">
        <v>16</v>
      </c>
      <c r="G50" s="8" t="s">
        <v>1012</v>
      </c>
      <c r="H50" s="5">
        <f t="shared" si="0"/>
        <v>91.898235294117626</v>
      </c>
      <c r="I50" s="6">
        <v>8.7411764705882342E-2</v>
      </c>
      <c r="J50" s="6">
        <v>0.28308823529411764</v>
      </c>
      <c r="K50" s="6">
        <v>0.41914705882352937</v>
      </c>
      <c r="L50" s="6">
        <v>0</v>
      </c>
      <c r="M50" s="6">
        <v>0.14241176470588235</v>
      </c>
      <c r="N50" s="6">
        <v>16.641235294117646</v>
      </c>
      <c r="O50" s="6">
        <v>2.0750294117647057</v>
      </c>
      <c r="P50" s="6">
        <v>1.5673235294117644</v>
      </c>
      <c r="Q50" s="6">
        <v>1.1276764705882352</v>
      </c>
      <c r="R50" s="6">
        <v>0.32438235294117646</v>
      </c>
      <c r="S50" s="15">
        <v>12.015000000000001</v>
      </c>
      <c r="T50" s="15">
        <v>0</v>
      </c>
      <c r="U50" s="15">
        <v>0</v>
      </c>
      <c r="V50" s="6">
        <v>30.749558823529412</v>
      </c>
      <c r="W50" s="6">
        <v>1.9807058823529411</v>
      </c>
      <c r="X50" s="6">
        <v>14.447176470588234</v>
      </c>
      <c r="Y50" s="6">
        <v>0.10502941176470587</v>
      </c>
      <c r="Z50" s="6">
        <v>0.39149999999999996</v>
      </c>
      <c r="AA50" s="6">
        <v>0.2894411764705882</v>
      </c>
      <c r="AB50" s="6">
        <v>0.20738235294117646</v>
      </c>
      <c r="AC50" s="6">
        <v>6.5121764705882343</v>
      </c>
      <c r="AD50" s="6">
        <v>1.2999999999999999E-2</v>
      </c>
      <c r="AE50" s="6">
        <v>0.15973529411764703</v>
      </c>
      <c r="AF50" s="6">
        <v>0.14914705882352938</v>
      </c>
      <c r="AG50" s="6">
        <v>4.1941176470588232E-2</v>
      </c>
      <c r="AH50" s="6">
        <v>0.45120588235294112</v>
      </c>
      <c r="AI50" s="6">
        <v>7.3941176470588232E-2</v>
      </c>
      <c r="AJ50" s="6">
        <v>1.6435882352941176</v>
      </c>
      <c r="AK50" s="4"/>
      <c r="AL50" s="4"/>
      <c r="AM50" s="4"/>
    </row>
    <row r="51" spans="1:39" x14ac:dyDescent="0.25">
      <c r="A51" s="7" t="s">
        <v>84</v>
      </c>
      <c r="B51" s="27" t="s">
        <v>437</v>
      </c>
      <c r="C51" s="7" t="s">
        <v>20</v>
      </c>
      <c r="D51" s="7" t="s">
        <v>29</v>
      </c>
      <c r="E51" s="7">
        <v>1</v>
      </c>
      <c r="F51" s="7" t="s">
        <v>16</v>
      </c>
      <c r="G51" s="8" t="s">
        <v>1012</v>
      </c>
      <c r="H51" s="5">
        <f t="shared" si="0"/>
        <v>164.42364705882355</v>
      </c>
      <c r="I51" s="6">
        <v>4.1147058823529412E-2</v>
      </c>
      <c r="J51" s="6">
        <v>0.25811764705882351</v>
      </c>
      <c r="K51" s="6">
        <v>0.48449999999999993</v>
      </c>
      <c r="L51" s="6">
        <v>0</v>
      </c>
      <c r="M51" s="6">
        <v>0.14144117647058824</v>
      </c>
      <c r="N51" s="6">
        <v>25.305147058823525</v>
      </c>
      <c r="O51" s="6">
        <v>2.3338529411764704</v>
      </c>
      <c r="P51" s="6">
        <v>4.8997352941176464</v>
      </c>
      <c r="Q51" s="6">
        <v>1.8753823529411764</v>
      </c>
      <c r="R51" s="6">
        <v>0.28747058823529409</v>
      </c>
      <c r="S51" s="15">
        <v>13.593</v>
      </c>
      <c r="T51" s="15">
        <v>0</v>
      </c>
      <c r="U51" s="15">
        <v>0</v>
      </c>
      <c r="V51" s="6">
        <v>82.679970588235292</v>
      </c>
      <c r="W51" s="6">
        <v>4.0138235294117646</v>
      </c>
      <c r="X51" s="6">
        <v>18.639794117647057</v>
      </c>
      <c r="Y51" s="6">
        <v>0.10102941176470587</v>
      </c>
      <c r="Z51" s="6">
        <v>0.97114705882352925</v>
      </c>
      <c r="AA51" s="6">
        <v>0.35985294117647054</v>
      </c>
      <c r="AB51" s="6">
        <v>0.35385294117647054</v>
      </c>
      <c r="AC51" s="6">
        <v>5.821470588235294</v>
      </c>
      <c r="AD51" s="6">
        <v>1.7970588235294117E-2</v>
      </c>
      <c r="AE51" s="6">
        <v>0.15708823529411764</v>
      </c>
      <c r="AF51" s="6">
        <v>0.12544117647058822</v>
      </c>
      <c r="AG51" s="6">
        <v>4.0647058823529411E-2</v>
      </c>
      <c r="AH51" s="6">
        <v>0.46585294117647058</v>
      </c>
      <c r="AI51" s="6">
        <v>6.2617647058823528E-2</v>
      </c>
      <c r="AJ51" s="6">
        <v>1.3932941176470586</v>
      </c>
      <c r="AK51" s="4"/>
      <c r="AL51" s="4"/>
      <c r="AM51" s="4"/>
    </row>
    <row r="52" spans="1:39" x14ac:dyDescent="0.25">
      <c r="A52" s="7" t="s">
        <v>85</v>
      </c>
      <c r="B52" s="27" t="s">
        <v>438</v>
      </c>
      <c r="C52" s="7" t="s">
        <v>20</v>
      </c>
      <c r="D52" s="7" t="s">
        <v>31</v>
      </c>
      <c r="E52" s="7">
        <v>1</v>
      </c>
      <c r="F52" s="7" t="s">
        <v>16</v>
      </c>
      <c r="G52" s="8" t="s">
        <v>1012</v>
      </c>
      <c r="H52" s="5">
        <f t="shared" si="0"/>
        <v>203.26273529411765</v>
      </c>
      <c r="I52" s="6">
        <v>8.8470588235294106E-2</v>
      </c>
      <c r="J52" s="6">
        <v>0.316735294117647</v>
      </c>
      <c r="K52" s="6">
        <v>0.4793235294117647</v>
      </c>
      <c r="L52" s="6">
        <v>0</v>
      </c>
      <c r="M52" s="6">
        <v>0.1669411764705882</v>
      </c>
      <c r="N52" s="6">
        <v>27.300323529411759</v>
      </c>
      <c r="O52" s="6">
        <v>1.3307352941176469</v>
      </c>
      <c r="P52" s="6">
        <v>4.490441176470588</v>
      </c>
      <c r="Q52" s="6">
        <v>1.9853235294117646</v>
      </c>
      <c r="R52" s="6">
        <v>0.29670588235294115</v>
      </c>
      <c r="S52" s="15">
        <v>12.157999999999999</v>
      </c>
      <c r="T52" s="15">
        <v>0</v>
      </c>
      <c r="U52" s="15">
        <v>0</v>
      </c>
      <c r="V52" s="6">
        <v>115.43261764705882</v>
      </c>
      <c r="W52" s="6">
        <v>4.8947058823529401</v>
      </c>
      <c r="X52" s="6">
        <v>22.486176470588234</v>
      </c>
      <c r="Y52" s="6">
        <v>0.10855882352941175</v>
      </c>
      <c r="Z52" s="6">
        <v>1.2900588235294117</v>
      </c>
      <c r="AA52" s="6">
        <v>0.46458823529411758</v>
      </c>
      <c r="AB52" s="6">
        <v>0.47461764705882353</v>
      </c>
      <c r="AC52" s="6">
        <v>7.0088529411764702</v>
      </c>
      <c r="AD52" s="6">
        <v>1.4852941176470586E-2</v>
      </c>
      <c r="AE52" s="6">
        <v>0.20123529411764704</v>
      </c>
      <c r="AF52" s="6">
        <v>0.11152941176470588</v>
      </c>
      <c r="AG52" s="6">
        <v>4.3882352941176463E-2</v>
      </c>
      <c r="AH52" s="6">
        <v>0.47032352941176464</v>
      </c>
      <c r="AI52" s="6">
        <v>6.5382352941176461E-2</v>
      </c>
      <c r="AJ52" s="6">
        <v>1.5823529411764705</v>
      </c>
      <c r="AK52" s="4"/>
      <c r="AL52" s="4"/>
      <c r="AM52" s="4"/>
    </row>
    <row r="53" spans="1:39" x14ac:dyDescent="0.25">
      <c r="A53" s="8" t="s">
        <v>86</v>
      </c>
      <c r="B53" s="27" t="s">
        <v>439</v>
      </c>
      <c r="C53" s="8" t="s">
        <v>20</v>
      </c>
      <c r="D53" s="8" t="s">
        <v>33</v>
      </c>
      <c r="E53" s="8">
        <v>2</v>
      </c>
      <c r="F53" s="8" t="s">
        <v>16</v>
      </c>
      <c r="G53" s="8" t="s">
        <v>1012</v>
      </c>
      <c r="H53" s="5">
        <f t="shared" si="0"/>
        <v>215.91232352941176</v>
      </c>
      <c r="I53" s="6">
        <v>0.18552941176470586</v>
      </c>
      <c r="J53" s="6">
        <v>0.73373529411764704</v>
      </c>
      <c r="K53" s="6">
        <v>1.2448823529411766</v>
      </c>
      <c r="L53" s="6">
        <v>0</v>
      </c>
      <c r="M53" s="6">
        <v>0.33414705882352941</v>
      </c>
      <c r="N53" s="6">
        <v>36.501852941176466</v>
      </c>
      <c r="O53" s="6">
        <v>1.9652941176470586</v>
      </c>
      <c r="P53" s="6">
        <v>4.7767352941176471</v>
      </c>
      <c r="Q53" s="6">
        <v>1.9967058823529411</v>
      </c>
      <c r="R53" s="6">
        <v>0.72320588235294114</v>
      </c>
      <c r="S53" s="16">
        <v>26.109205882352938</v>
      </c>
      <c r="T53" s="16">
        <v>0.03</v>
      </c>
      <c r="U53" s="16">
        <v>7.5647058823529401E-2</v>
      </c>
      <c r="V53" s="6">
        <v>86.571970588235288</v>
      </c>
      <c r="W53" s="6">
        <v>4.1802058823529409</v>
      </c>
      <c r="X53" s="6">
        <v>30.885499999999997</v>
      </c>
      <c r="Y53" s="6">
        <v>0.21473529411764705</v>
      </c>
      <c r="Z53" s="6">
        <v>1.0569411764705883</v>
      </c>
      <c r="AA53" s="6">
        <v>0.51367647058823529</v>
      </c>
      <c r="AB53" s="6">
        <v>0.52311764705882347</v>
      </c>
      <c r="AC53" s="6">
        <v>12.657529411764704</v>
      </c>
      <c r="AD53" s="6">
        <v>4.3323529411764705E-2</v>
      </c>
      <c r="AE53" s="6">
        <v>0.32079411764705879</v>
      </c>
      <c r="AF53" s="6">
        <v>0.32132352941176467</v>
      </c>
      <c r="AG53" s="6">
        <v>8.3764705882352936E-2</v>
      </c>
      <c r="AH53" s="6">
        <v>0.89441176470588224</v>
      </c>
      <c r="AI53" s="6">
        <v>0.15520588235294117</v>
      </c>
      <c r="AJ53" s="6">
        <v>2.8128823529411764</v>
      </c>
      <c r="AK53" s="4"/>
      <c r="AL53" s="4"/>
      <c r="AM53" s="4"/>
    </row>
    <row r="54" spans="1:39" x14ac:dyDescent="0.25">
      <c r="A54" s="8" t="s">
        <v>87</v>
      </c>
      <c r="B54" s="27" t="s">
        <v>440</v>
      </c>
      <c r="C54" s="8" t="s">
        <v>20</v>
      </c>
      <c r="D54" s="8" t="s">
        <v>35</v>
      </c>
      <c r="E54" s="8">
        <v>2</v>
      </c>
      <c r="F54" s="8" t="s">
        <v>16</v>
      </c>
      <c r="G54" s="8" t="s">
        <v>1012</v>
      </c>
      <c r="H54" s="5">
        <f t="shared" si="0"/>
        <v>224.17055882352938</v>
      </c>
      <c r="I54" s="6">
        <v>0.15420588235294116</v>
      </c>
      <c r="J54" s="6">
        <v>0.64976470588235291</v>
      </c>
      <c r="K54" s="6">
        <v>1.0689411764705881</v>
      </c>
      <c r="L54" s="6">
        <v>0</v>
      </c>
      <c r="M54" s="6">
        <v>0.31135294117647055</v>
      </c>
      <c r="N54" s="6">
        <v>36.492441176470585</v>
      </c>
      <c r="O54" s="6">
        <v>1.8697352941176468</v>
      </c>
      <c r="P54" s="6">
        <v>4.3125294117647055</v>
      </c>
      <c r="Q54" s="6">
        <v>3.4757352941176469</v>
      </c>
      <c r="R54" s="6">
        <v>0.61576470588235288</v>
      </c>
      <c r="S54" s="16">
        <v>23.688411764705879</v>
      </c>
      <c r="T54" s="16">
        <v>1.3352941176470587E-2</v>
      </c>
      <c r="U54" s="16">
        <v>1.9617647058823528E-2</v>
      </c>
      <c r="V54" s="6">
        <v>98.944029411764703</v>
      </c>
      <c r="W54" s="6">
        <v>4.660764705882352</v>
      </c>
      <c r="X54" s="6">
        <v>28.03311764705882</v>
      </c>
      <c r="Y54" s="6">
        <v>0.18082352941176469</v>
      </c>
      <c r="Z54" s="6">
        <v>1.1957058823529412</v>
      </c>
      <c r="AA54" s="6">
        <v>0.4657941176470588</v>
      </c>
      <c r="AB54" s="6">
        <v>0.42373529411764704</v>
      </c>
      <c r="AC54" s="6">
        <v>12.971647058823528</v>
      </c>
      <c r="AD54" s="6">
        <v>4.4764705882352936E-2</v>
      </c>
      <c r="AE54" s="6">
        <v>0.30449999999999999</v>
      </c>
      <c r="AF54" s="6">
        <v>0.27549999999999997</v>
      </c>
      <c r="AG54" s="6">
        <v>7.3970588235294107E-2</v>
      </c>
      <c r="AH54" s="6">
        <v>0.99599999999999989</v>
      </c>
      <c r="AI54" s="6">
        <v>0.13461764705882351</v>
      </c>
      <c r="AJ54" s="6">
        <v>2.793735294117647</v>
      </c>
      <c r="AK54" s="4"/>
      <c r="AL54" s="4"/>
      <c r="AM54" s="4"/>
    </row>
    <row r="55" spans="1:39" x14ac:dyDescent="0.25">
      <c r="A55" s="7" t="s">
        <v>88</v>
      </c>
      <c r="B55" s="27" t="s">
        <v>441</v>
      </c>
      <c r="C55" s="7" t="s">
        <v>20</v>
      </c>
      <c r="D55" s="7" t="s">
        <v>37</v>
      </c>
      <c r="E55" s="7">
        <v>2</v>
      </c>
      <c r="F55" s="7" t="s">
        <v>16</v>
      </c>
      <c r="G55" s="8" t="s">
        <v>1012</v>
      </c>
      <c r="H55" s="5">
        <f t="shared" si="0"/>
        <v>156.52329411764703</v>
      </c>
      <c r="I55" s="6">
        <v>2.291176470588235E-2</v>
      </c>
      <c r="J55" s="6">
        <v>0.22588235294117642</v>
      </c>
      <c r="K55" s="6">
        <v>0.21473529411764705</v>
      </c>
      <c r="L55" s="6">
        <v>0</v>
      </c>
      <c r="M55" s="6">
        <v>0.11126470588235295</v>
      </c>
      <c r="N55" s="6">
        <v>20.7455</v>
      </c>
      <c r="O55" s="6">
        <v>1.0921764705882353</v>
      </c>
      <c r="P55" s="6">
        <v>1.7083823529411764</v>
      </c>
      <c r="Q55" s="6">
        <v>1.1856176470588236</v>
      </c>
      <c r="R55" s="6">
        <v>0.36602941176470588</v>
      </c>
      <c r="S55" s="15">
        <v>14.105</v>
      </c>
      <c r="T55" s="15">
        <v>0</v>
      </c>
      <c r="U55" s="15">
        <v>0</v>
      </c>
      <c r="V55" s="6">
        <v>80.706382352941162</v>
      </c>
      <c r="W55" s="6">
        <v>3.9803529411764704</v>
      </c>
      <c r="X55" s="6">
        <v>20.320999999999998</v>
      </c>
      <c r="Y55" s="6">
        <v>0.13297058823529412</v>
      </c>
      <c r="Z55" s="6">
        <v>0.7637647058823529</v>
      </c>
      <c r="AA55" s="6">
        <v>0.37732352941176461</v>
      </c>
      <c r="AB55" s="6">
        <v>0.3677058823529411</v>
      </c>
      <c r="AC55" s="6">
        <v>7.3035882352941179</v>
      </c>
      <c r="AD55" s="6">
        <v>1.8941176470588236E-2</v>
      </c>
      <c r="AE55" s="6">
        <v>0.18235294117647058</v>
      </c>
      <c r="AF55" s="6">
        <v>0.17573529411764705</v>
      </c>
      <c r="AG55" s="6">
        <v>3.426470588235294E-2</v>
      </c>
      <c r="AH55" s="6">
        <v>0.52205882352941169</v>
      </c>
      <c r="AI55" s="6">
        <v>7.538235294117647E-2</v>
      </c>
      <c r="AJ55" s="6">
        <v>1.7839705882352941</v>
      </c>
      <c r="AK55" s="4"/>
      <c r="AL55" s="4"/>
      <c r="AM55" s="4"/>
    </row>
    <row r="56" spans="1:39" x14ac:dyDescent="0.25">
      <c r="A56" s="7" t="s">
        <v>89</v>
      </c>
      <c r="B56" s="27" t="s">
        <v>442</v>
      </c>
      <c r="C56" s="7" t="s">
        <v>20</v>
      </c>
      <c r="D56" s="7" t="s">
        <v>39</v>
      </c>
      <c r="E56" s="7">
        <v>2</v>
      </c>
      <c r="F56" s="7" t="s">
        <v>16</v>
      </c>
      <c r="G56" s="8" t="s">
        <v>1012</v>
      </c>
      <c r="H56" s="5">
        <f t="shared" si="0"/>
        <v>96.414764705882348</v>
      </c>
      <c r="I56" s="6">
        <v>6.6823529411764698E-2</v>
      </c>
      <c r="J56" s="6">
        <v>0.28723529411764703</v>
      </c>
      <c r="K56" s="6">
        <v>0.40920588235294114</v>
      </c>
      <c r="L56" s="6">
        <v>0</v>
      </c>
      <c r="M56" s="6">
        <v>0.14458823529411763</v>
      </c>
      <c r="N56" s="6">
        <v>16.095147058823528</v>
      </c>
      <c r="O56" s="6">
        <v>0.4614117647058823</v>
      </c>
      <c r="P56" s="6">
        <v>0.87085294117647061</v>
      </c>
      <c r="Q56" s="6">
        <v>1.0320882352941176</v>
      </c>
      <c r="R56" s="6">
        <v>0.23441176470588232</v>
      </c>
      <c r="S56" s="15">
        <v>10.813000000000001</v>
      </c>
      <c r="T56" s="15">
        <v>0</v>
      </c>
      <c r="U56" s="15">
        <v>0</v>
      </c>
      <c r="V56" s="6">
        <v>38.497441176470588</v>
      </c>
      <c r="W56" s="6">
        <v>2.1201764705882349</v>
      </c>
      <c r="X56" s="6">
        <v>14.235558823529411</v>
      </c>
      <c r="Y56" s="6">
        <v>9.8941176470588241E-2</v>
      </c>
      <c r="Z56" s="6">
        <v>0.50373529411764706</v>
      </c>
      <c r="AA56" s="6">
        <v>0.25364705882352939</v>
      </c>
      <c r="AB56" s="6">
        <v>0.23061764705882348</v>
      </c>
      <c r="AC56" s="6">
        <v>7.3198823529411765</v>
      </c>
      <c r="AD56" s="6">
        <v>1.0970588235294116E-2</v>
      </c>
      <c r="AE56" s="6">
        <v>0.16705882352941176</v>
      </c>
      <c r="AF56" s="6">
        <v>0.1293235294117647</v>
      </c>
      <c r="AG56" s="6">
        <v>2.9147058823529411E-2</v>
      </c>
      <c r="AH56" s="6">
        <v>0.51561764705882351</v>
      </c>
      <c r="AI56" s="6">
        <v>7.4558823529411761E-2</v>
      </c>
      <c r="AJ56" s="6">
        <v>1.8133235294117647</v>
      </c>
      <c r="AK56" s="4"/>
      <c r="AL56" s="4"/>
      <c r="AM56" s="4"/>
    </row>
    <row r="57" spans="1:39" x14ac:dyDescent="0.25">
      <c r="A57" s="7" t="s">
        <v>90</v>
      </c>
      <c r="B57" s="27" t="s">
        <v>443</v>
      </c>
      <c r="C57" s="7" t="s">
        <v>20</v>
      </c>
      <c r="D57" s="7" t="s">
        <v>41</v>
      </c>
      <c r="E57" s="7">
        <v>2</v>
      </c>
      <c r="F57" s="7" t="s">
        <v>16</v>
      </c>
      <c r="G57" s="8" t="s">
        <v>1012</v>
      </c>
      <c r="H57" s="5">
        <f t="shared" si="0"/>
        <v>99.881941176470562</v>
      </c>
      <c r="I57" s="6">
        <v>3.2117647058823522E-2</v>
      </c>
      <c r="J57" s="6">
        <v>0.30488235294117644</v>
      </c>
      <c r="K57" s="6">
        <v>0.35932352941176465</v>
      </c>
      <c r="L57" s="6">
        <v>0</v>
      </c>
      <c r="M57" s="6">
        <v>0.13508823529411762</v>
      </c>
      <c r="N57" s="6">
        <v>14.807382352941175</v>
      </c>
      <c r="O57" s="6">
        <v>0.76185294117647051</v>
      </c>
      <c r="P57" s="6">
        <v>1.7584705882352938</v>
      </c>
      <c r="Q57" s="6">
        <v>0.8214999999999999</v>
      </c>
      <c r="R57" s="6">
        <v>0.25849999999999995</v>
      </c>
      <c r="S57" s="15">
        <v>11.087999999999999</v>
      </c>
      <c r="T57" s="15">
        <v>1.6E-2</v>
      </c>
      <c r="U57" s="15">
        <v>0.03</v>
      </c>
      <c r="V57" s="6">
        <v>42.721058823529404</v>
      </c>
      <c r="W57" s="6">
        <v>2.3026470588235295</v>
      </c>
      <c r="X57" s="6">
        <v>14.44320588235294</v>
      </c>
      <c r="Y57" s="6">
        <v>8.3058823529411768E-2</v>
      </c>
      <c r="Z57" s="6">
        <v>0.46273529411764702</v>
      </c>
      <c r="AA57" s="6">
        <v>0.26791176470588235</v>
      </c>
      <c r="AB57" s="6">
        <v>0.30385294117647055</v>
      </c>
      <c r="AC57" s="6">
        <v>6.4555294117647053</v>
      </c>
      <c r="AD57" s="6">
        <v>8.8823529411764697E-3</v>
      </c>
      <c r="AE57" s="6">
        <v>0.16114705882352939</v>
      </c>
      <c r="AF57" s="6">
        <v>0.11294117647058821</v>
      </c>
      <c r="AG57" s="6">
        <v>4.008823529411764E-2</v>
      </c>
      <c r="AH57" s="6">
        <v>0.46914705882352942</v>
      </c>
      <c r="AI57" s="6">
        <v>7.5558823529411762E-2</v>
      </c>
      <c r="AJ57" s="6">
        <v>1.6010588235294114</v>
      </c>
      <c r="AK57" s="4"/>
      <c r="AL57" s="4"/>
      <c r="AM57" s="4"/>
    </row>
    <row r="58" spans="1:39" x14ac:dyDescent="0.25">
      <c r="A58" s="8" t="s">
        <v>91</v>
      </c>
      <c r="B58" s="27" t="s">
        <v>444</v>
      </c>
      <c r="C58" s="8" t="s">
        <v>20</v>
      </c>
      <c r="D58" s="8" t="s">
        <v>43</v>
      </c>
      <c r="E58" s="8">
        <v>6</v>
      </c>
      <c r="F58" s="8" t="s">
        <v>16</v>
      </c>
      <c r="G58" s="8" t="s">
        <v>1012</v>
      </c>
      <c r="H58" s="5">
        <f t="shared" si="0"/>
        <v>123.20820588235296</v>
      </c>
      <c r="I58" s="6">
        <v>0.18223529411764705</v>
      </c>
      <c r="J58" s="6">
        <v>0.72079411764705881</v>
      </c>
      <c r="K58" s="6">
        <v>0.93244117647058811</v>
      </c>
      <c r="L58" s="6">
        <v>0</v>
      </c>
      <c r="M58" s="6">
        <v>0.2362647058823529</v>
      </c>
      <c r="N58" s="6">
        <v>22.342852941176467</v>
      </c>
      <c r="O58" s="6">
        <v>0.35679411764705882</v>
      </c>
      <c r="P58" s="6">
        <v>1.2126176470588235</v>
      </c>
      <c r="Q58" s="6">
        <v>0.70035294117647051</v>
      </c>
      <c r="R58" s="6">
        <v>0.52411764705882347</v>
      </c>
      <c r="S58" s="16">
        <v>23.15870588235294</v>
      </c>
      <c r="T58" s="16">
        <v>5.8617647058823524E-2</v>
      </c>
      <c r="U58" s="16">
        <v>0.17235294117647057</v>
      </c>
      <c r="V58" s="6">
        <v>29.529617647058821</v>
      </c>
      <c r="W58" s="6">
        <v>2.2187352941176468</v>
      </c>
      <c r="X58" s="6">
        <v>22.89014705882353</v>
      </c>
      <c r="Y58" s="6">
        <v>0.18873529411764706</v>
      </c>
      <c r="Z58" s="6">
        <v>0.39391176470588229</v>
      </c>
      <c r="AA58" s="6">
        <v>0.30897058823529411</v>
      </c>
      <c r="AB58" s="6">
        <v>0.3135</v>
      </c>
      <c r="AC58" s="6">
        <v>12.146294117647058</v>
      </c>
      <c r="AD58" s="6">
        <v>3.994117647058823E-2</v>
      </c>
      <c r="AE58" s="6">
        <v>0.29373529411764704</v>
      </c>
      <c r="AF58" s="6">
        <v>0.22658823529411762</v>
      </c>
      <c r="AG58" s="6">
        <v>7.588235294117647E-2</v>
      </c>
      <c r="AH58" s="6">
        <v>1.0237941176470589</v>
      </c>
      <c r="AI58" s="6">
        <v>0.16988235294117646</v>
      </c>
      <c r="AJ58" s="6">
        <v>2.7903235294117645</v>
      </c>
      <c r="AK58" s="4"/>
      <c r="AL58" s="4"/>
      <c r="AM58" s="4"/>
    </row>
    <row r="59" spans="1:39" x14ac:dyDescent="0.25">
      <c r="A59" s="7" t="s">
        <v>92</v>
      </c>
      <c r="B59" s="27" t="s">
        <v>445</v>
      </c>
      <c r="C59" s="7" t="s">
        <v>20</v>
      </c>
      <c r="D59" s="7" t="s">
        <v>45</v>
      </c>
      <c r="E59" s="7">
        <v>6</v>
      </c>
      <c r="F59" s="7" t="s">
        <v>16</v>
      </c>
      <c r="G59" s="8" t="s">
        <v>1012</v>
      </c>
      <c r="H59" s="5">
        <f t="shared" si="0"/>
        <v>34.65567647058824</v>
      </c>
      <c r="I59" s="6">
        <v>2.241176470588235E-2</v>
      </c>
      <c r="J59" s="6">
        <v>0.22852941176470587</v>
      </c>
      <c r="K59" s="6">
        <v>0.17573529411764705</v>
      </c>
      <c r="L59" s="6">
        <v>0</v>
      </c>
      <c r="M59" s="6">
        <v>6.7764705882352935E-2</v>
      </c>
      <c r="N59" s="6">
        <v>5.9484999999999992</v>
      </c>
      <c r="O59" s="6">
        <v>0.29961764705882349</v>
      </c>
      <c r="P59" s="6">
        <v>0.37323529411764705</v>
      </c>
      <c r="Q59" s="6">
        <v>0.16535294117647056</v>
      </c>
      <c r="R59" s="6">
        <v>0.12552941176470589</v>
      </c>
      <c r="S59" s="15">
        <v>7.149</v>
      </c>
      <c r="T59" s="15">
        <v>2.1000000000000001E-2</v>
      </c>
      <c r="U59" s="15">
        <v>3.2000000000000001E-2</v>
      </c>
      <c r="V59" s="6">
        <v>7.0359705882352941</v>
      </c>
      <c r="W59" s="6">
        <v>0.56991176470588234</v>
      </c>
      <c r="X59" s="6">
        <v>5.5368235294117643</v>
      </c>
      <c r="Y59" s="6">
        <v>4.2941176470588233E-2</v>
      </c>
      <c r="Z59" s="6">
        <v>9.8411764705882337E-2</v>
      </c>
      <c r="AA59" s="6">
        <v>9.7058823529411767E-2</v>
      </c>
      <c r="AB59" s="6">
        <v>8.1764705882352934E-2</v>
      </c>
      <c r="AC59" s="6">
        <v>4.780176470588235</v>
      </c>
      <c r="AD59" s="6">
        <v>8.8235294117647058E-3</v>
      </c>
      <c r="AE59" s="6">
        <v>9.5000000000000001E-2</v>
      </c>
      <c r="AF59" s="6">
        <v>6.5647058823529406E-2</v>
      </c>
      <c r="AG59" s="6">
        <v>3.505882352941176E-2</v>
      </c>
      <c r="AH59" s="6">
        <v>0.36291176470588232</v>
      </c>
      <c r="AI59" s="6">
        <v>5.4117647058823527E-2</v>
      </c>
      <c r="AJ59" s="6">
        <v>1.1823823529411763</v>
      </c>
      <c r="AK59" s="4"/>
      <c r="AL59" s="4"/>
      <c r="AM59" s="4"/>
    </row>
    <row r="60" spans="1:39" x14ac:dyDescent="0.25">
      <c r="A60" s="7" t="s">
        <v>93</v>
      </c>
      <c r="B60" s="27" t="s">
        <v>446</v>
      </c>
      <c r="C60" s="7" t="s">
        <v>20</v>
      </c>
      <c r="D60" s="7" t="s">
        <v>47</v>
      </c>
      <c r="E60" s="7">
        <v>6</v>
      </c>
      <c r="F60" s="7" t="s">
        <v>16</v>
      </c>
      <c r="G60" s="8" t="s">
        <v>1012</v>
      </c>
      <c r="H60" s="5">
        <f t="shared" si="0"/>
        <v>43.789147058823524</v>
      </c>
      <c r="I60" s="6">
        <v>2.4058823529411761E-2</v>
      </c>
      <c r="J60" s="6">
        <v>0.24520588235294116</v>
      </c>
      <c r="K60" s="6">
        <v>0.23729411764705882</v>
      </c>
      <c r="L60" s="6">
        <v>0</v>
      </c>
      <c r="M60" s="6">
        <v>6.9941176470588229E-2</v>
      </c>
      <c r="N60" s="6">
        <v>8.8559411764705871</v>
      </c>
      <c r="O60" s="6">
        <v>0.17658823529411763</v>
      </c>
      <c r="P60" s="6">
        <v>9.7882352941176448E-2</v>
      </c>
      <c r="Q60" s="6">
        <v>0.31664705882352939</v>
      </c>
      <c r="R60" s="6">
        <v>0.19044117647058822</v>
      </c>
      <c r="S60" s="15">
        <v>10.503</v>
      </c>
      <c r="T60" s="15">
        <v>3.9E-2</v>
      </c>
      <c r="U60" s="15">
        <v>2.5999999999999999E-2</v>
      </c>
      <c r="V60" s="6">
        <v>3.4804117647058823</v>
      </c>
      <c r="W60" s="6">
        <v>0.62529411764705878</v>
      </c>
      <c r="X60" s="6">
        <v>8.8858235294117645</v>
      </c>
      <c r="Y60" s="6">
        <v>8.4235294117647047E-2</v>
      </c>
      <c r="Z60" s="6">
        <v>0.11670588235294117</v>
      </c>
      <c r="AA60" s="6">
        <v>9.8764705882352935E-2</v>
      </c>
      <c r="AB60" s="6">
        <v>7.0264705882352937E-2</v>
      </c>
      <c r="AC60" s="6">
        <v>7.1861176470588237</v>
      </c>
      <c r="AD60" s="6">
        <v>1.1411764705882352E-2</v>
      </c>
      <c r="AE60" s="6">
        <v>0.11935294117647058</v>
      </c>
      <c r="AF60" s="6">
        <v>0.10667647058823528</v>
      </c>
      <c r="AG60" s="6">
        <v>3.1970588235294112E-2</v>
      </c>
      <c r="AH60" s="6">
        <v>0.4572941176470588</v>
      </c>
      <c r="AI60" s="6">
        <v>7.0529411764705882E-2</v>
      </c>
      <c r="AJ60" s="6">
        <v>1.6622941176470587</v>
      </c>
      <c r="AK60" s="4"/>
      <c r="AL60" s="4"/>
      <c r="AM60" s="4"/>
    </row>
    <row r="61" spans="1:39" x14ac:dyDescent="0.25">
      <c r="A61" s="7" t="s">
        <v>94</v>
      </c>
      <c r="B61" s="27" t="s">
        <v>447</v>
      </c>
      <c r="C61" s="7" t="s">
        <v>20</v>
      </c>
      <c r="D61" s="7" t="s">
        <v>49</v>
      </c>
      <c r="E61" s="7">
        <v>6</v>
      </c>
      <c r="F61" s="7" t="s">
        <v>16</v>
      </c>
      <c r="G61" s="8" t="s">
        <v>1012</v>
      </c>
      <c r="H61" s="5">
        <f t="shared" si="0"/>
        <v>58.462999999999994</v>
      </c>
      <c r="I61" s="6">
        <v>0.22758823529411765</v>
      </c>
      <c r="J61" s="6">
        <v>0.3266470588235294</v>
      </c>
      <c r="K61" s="6">
        <v>0.50211764705882356</v>
      </c>
      <c r="L61" s="6">
        <v>0</v>
      </c>
      <c r="M61" s="6">
        <v>0.2444117647058823</v>
      </c>
      <c r="N61" s="6">
        <v>12.345058823529412</v>
      </c>
      <c r="O61" s="6">
        <v>0.63755882352941173</v>
      </c>
      <c r="P61" s="6">
        <v>0.70220588235294112</v>
      </c>
      <c r="Q61" s="6">
        <v>0.26649999999999996</v>
      </c>
      <c r="R61" s="6">
        <v>0.24273529411764705</v>
      </c>
      <c r="S61" s="15">
        <v>12.609</v>
      </c>
      <c r="T61" s="15">
        <v>0.05</v>
      </c>
      <c r="U61" s="15">
        <v>4.4999999999999998E-2</v>
      </c>
      <c r="V61" s="6">
        <v>9.2736176470588241</v>
      </c>
      <c r="W61" s="6">
        <v>0.86976470588235277</v>
      </c>
      <c r="X61" s="6">
        <v>9.7348823529411757</v>
      </c>
      <c r="Y61" s="6">
        <v>7.9529411764705876E-2</v>
      </c>
      <c r="Z61" s="6">
        <v>0.18670588235294114</v>
      </c>
      <c r="AA61" s="6">
        <v>0.17508823529411763</v>
      </c>
      <c r="AB61" s="6">
        <v>9.7058823529411767E-2</v>
      </c>
      <c r="AC61" s="6">
        <v>7.2286176470588233</v>
      </c>
      <c r="AD61" s="6">
        <v>9.2647058823529405E-3</v>
      </c>
      <c r="AE61" s="6">
        <v>0.16588235294117645</v>
      </c>
      <c r="AF61" s="6">
        <v>9.2323529411764707E-2</v>
      </c>
      <c r="AG61" s="6">
        <v>4.3029411764705879E-2</v>
      </c>
      <c r="AH61" s="6">
        <v>0.51691176470588229</v>
      </c>
      <c r="AI61" s="6">
        <v>7.2647058823529412E-2</v>
      </c>
      <c r="AJ61" s="6">
        <v>1.7188529411764704</v>
      </c>
      <c r="AK61" s="4"/>
      <c r="AL61" s="4"/>
      <c r="AM61" s="4"/>
    </row>
    <row r="62" spans="1:39" x14ac:dyDescent="0.25">
      <c r="A62" s="7" t="s">
        <v>95</v>
      </c>
      <c r="B62" s="27" t="s">
        <v>448</v>
      </c>
      <c r="C62" s="7" t="s">
        <v>20</v>
      </c>
      <c r="D62" s="7" t="s">
        <v>21</v>
      </c>
      <c r="E62" s="7">
        <v>0</v>
      </c>
      <c r="F62" s="7" t="s">
        <v>17</v>
      </c>
      <c r="G62" s="8" t="s">
        <v>1012</v>
      </c>
      <c r="H62" s="5">
        <f t="shared" si="0"/>
        <v>101.01664705882354</v>
      </c>
      <c r="I62" s="6">
        <v>7.3499999999999996E-2</v>
      </c>
      <c r="J62" s="6">
        <v>0.31929411764705878</v>
      </c>
      <c r="K62" s="6">
        <v>0.66341176470588237</v>
      </c>
      <c r="L62" s="6">
        <v>0</v>
      </c>
      <c r="M62" s="6">
        <v>0.1133235294117647</v>
      </c>
      <c r="N62" s="6">
        <v>24.707529411764707</v>
      </c>
      <c r="O62" s="6">
        <v>0</v>
      </c>
      <c r="P62" s="6">
        <v>0</v>
      </c>
      <c r="Q62" s="6">
        <v>2.7678235294117646</v>
      </c>
      <c r="R62" s="6">
        <v>0.1911176470588235</v>
      </c>
      <c r="S62" s="15">
        <v>10.31</v>
      </c>
      <c r="T62" s="15">
        <v>0</v>
      </c>
      <c r="U62" s="15">
        <v>0</v>
      </c>
      <c r="V62" s="6">
        <v>18.798323529411764</v>
      </c>
      <c r="W62" s="6">
        <v>1.6118529411764706</v>
      </c>
      <c r="X62" s="6">
        <v>20.303941176470587</v>
      </c>
      <c r="Y62" s="6">
        <v>0.49294117647058822</v>
      </c>
      <c r="Z62" s="6">
        <v>0.83779411764705869</v>
      </c>
      <c r="AA62" s="6">
        <v>5.6470588235294106E-2</v>
      </c>
      <c r="AB62" s="6">
        <v>0.16438235294117645</v>
      </c>
      <c r="AC62" s="6">
        <v>12.430029411764705</v>
      </c>
      <c r="AD62" s="6">
        <v>4.2735294117647052E-2</v>
      </c>
      <c r="AE62" s="6">
        <v>0.15664705882352942</v>
      </c>
      <c r="AF62" s="6">
        <v>0.25049999999999994</v>
      </c>
      <c r="AG62" s="6">
        <v>2.9970588235294113E-2</v>
      </c>
      <c r="AH62" s="6">
        <v>0.43979411764705878</v>
      </c>
      <c r="AI62" s="6">
        <v>0.28017647058823525</v>
      </c>
      <c r="AJ62" s="6">
        <v>5.975088235294117</v>
      </c>
      <c r="AK62" s="4"/>
      <c r="AL62" s="4"/>
      <c r="AM62" s="4"/>
    </row>
    <row r="63" spans="1:39" x14ac:dyDescent="0.25">
      <c r="A63" s="7" t="s">
        <v>96</v>
      </c>
      <c r="B63" s="27" t="s">
        <v>449</v>
      </c>
      <c r="C63" s="7" t="s">
        <v>20</v>
      </c>
      <c r="D63" s="7" t="s">
        <v>27</v>
      </c>
      <c r="E63" s="7">
        <v>1</v>
      </c>
      <c r="F63" s="7" t="s">
        <v>17</v>
      </c>
      <c r="G63" s="8" t="s">
        <v>1012</v>
      </c>
      <c r="H63" s="5">
        <f t="shared" si="0"/>
        <v>94.752735294117628</v>
      </c>
      <c r="I63" s="6">
        <v>8.9264705882352927E-2</v>
      </c>
      <c r="J63" s="6">
        <v>0.42876470588235288</v>
      </c>
      <c r="K63" s="6">
        <v>0.55323529411764694</v>
      </c>
      <c r="L63" s="6">
        <v>0</v>
      </c>
      <c r="M63" s="6">
        <v>0.11817647058823529</v>
      </c>
      <c r="N63" s="6">
        <v>22.984588235294115</v>
      </c>
      <c r="O63" s="6">
        <v>0.12564705882352942</v>
      </c>
      <c r="P63" s="6">
        <v>0.22008823529411761</v>
      </c>
      <c r="Q63" s="6">
        <v>1.8850294117647057</v>
      </c>
      <c r="R63" s="6">
        <v>0.20008823529411762</v>
      </c>
      <c r="S63" s="15">
        <v>10.827</v>
      </c>
      <c r="T63" s="15">
        <v>0</v>
      </c>
      <c r="U63" s="15">
        <v>0</v>
      </c>
      <c r="V63" s="6">
        <v>15.682264705882352</v>
      </c>
      <c r="W63" s="6">
        <v>1.9584999999999997</v>
      </c>
      <c r="X63" s="6">
        <v>17.205823529411763</v>
      </c>
      <c r="Y63" s="6">
        <v>0.2606470588235294</v>
      </c>
      <c r="Z63" s="6">
        <v>0.56117647058823528</v>
      </c>
      <c r="AA63" s="6">
        <v>6.8676470588235283E-2</v>
      </c>
      <c r="AB63" s="6">
        <v>0.1603235294117647</v>
      </c>
      <c r="AC63" s="6">
        <v>13.130382352941176</v>
      </c>
      <c r="AD63" s="6">
        <v>4.4970588235294116E-2</v>
      </c>
      <c r="AE63" s="6">
        <v>0.1774705882352941</v>
      </c>
      <c r="AF63" s="6">
        <v>0.22505882352941176</v>
      </c>
      <c r="AG63" s="6">
        <v>3.4235294117647051E-2</v>
      </c>
      <c r="AH63" s="6">
        <v>0.4105588235294117</v>
      </c>
      <c r="AI63" s="6">
        <v>0.30714705882352938</v>
      </c>
      <c r="AJ63" s="6">
        <v>7.0936176470588235</v>
      </c>
      <c r="AK63" s="4"/>
      <c r="AL63" s="4"/>
      <c r="AM63" s="4"/>
    </row>
    <row r="64" spans="1:39" x14ac:dyDescent="0.25">
      <c r="A64" s="7" t="s">
        <v>97</v>
      </c>
      <c r="B64" s="27" t="s">
        <v>450</v>
      </c>
      <c r="C64" s="7" t="s">
        <v>20</v>
      </c>
      <c r="D64" s="7" t="s">
        <v>29</v>
      </c>
      <c r="E64" s="7">
        <v>1</v>
      </c>
      <c r="F64" s="7" t="s">
        <v>17</v>
      </c>
      <c r="G64" s="8" t="s">
        <v>1012</v>
      </c>
      <c r="H64" s="5">
        <f t="shared" si="0"/>
        <v>98.08758823529412</v>
      </c>
      <c r="I64" s="6">
        <v>0.11291176470588235</v>
      </c>
      <c r="J64" s="6">
        <v>0.46538235294117647</v>
      </c>
      <c r="K64" s="6">
        <v>0.44444117647058817</v>
      </c>
      <c r="L64" s="6">
        <v>0</v>
      </c>
      <c r="M64" s="6">
        <v>0.12917647058823528</v>
      </c>
      <c r="N64" s="6">
        <v>24.53405882352941</v>
      </c>
      <c r="O64" s="6">
        <v>0.10582352941176469</v>
      </c>
      <c r="P64" s="6">
        <v>0.1384705882352941</v>
      </c>
      <c r="Q64" s="6">
        <v>1.6082647058823529</v>
      </c>
      <c r="R64" s="6">
        <v>0.24923529411764703</v>
      </c>
      <c r="S64" s="15">
        <v>13.69</v>
      </c>
      <c r="T64" s="15">
        <v>0</v>
      </c>
      <c r="U64" s="15">
        <v>0</v>
      </c>
      <c r="V64" s="6">
        <v>11.293235294117647</v>
      </c>
      <c r="W64" s="6">
        <v>1.5936470588235292</v>
      </c>
      <c r="X64" s="6">
        <v>17.068029411764705</v>
      </c>
      <c r="Y64" s="6">
        <v>0.31799999999999995</v>
      </c>
      <c r="Z64" s="6">
        <v>0.4105588235294117</v>
      </c>
      <c r="AA64" s="6">
        <v>0.18817647058823528</v>
      </c>
      <c r="AB64" s="6">
        <v>0.19458823529411762</v>
      </c>
      <c r="AC64" s="6">
        <v>16.864735294117644</v>
      </c>
      <c r="AD64" s="6">
        <v>4.4647058823529408E-2</v>
      </c>
      <c r="AE64" s="6">
        <v>0.36011764705882349</v>
      </c>
      <c r="AF64" s="6">
        <v>0.27626470588235291</v>
      </c>
      <c r="AG64" s="6">
        <v>5.9029411764705879E-2</v>
      </c>
      <c r="AH64" s="6">
        <v>0.40329411764705875</v>
      </c>
      <c r="AI64" s="6">
        <v>0.33155882352941174</v>
      </c>
      <c r="AJ64" s="6">
        <v>7.203941176470587</v>
      </c>
      <c r="AK64" s="4"/>
      <c r="AL64" s="4"/>
      <c r="AM64" s="4"/>
    </row>
    <row r="65" spans="1:39" x14ac:dyDescent="0.25">
      <c r="A65" s="7" t="s">
        <v>98</v>
      </c>
      <c r="B65" s="27" t="s">
        <v>451</v>
      </c>
      <c r="C65" s="7" t="s">
        <v>20</v>
      </c>
      <c r="D65" s="7" t="s">
        <v>31</v>
      </c>
      <c r="E65" s="7">
        <v>1</v>
      </c>
      <c r="F65" s="7" t="s">
        <v>17</v>
      </c>
      <c r="G65" s="8" t="s">
        <v>1012</v>
      </c>
      <c r="H65" s="5">
        <f t="shared" si="0"/>
        <v>92.416647058823514</v>
      </c>
      <c r="I65" s="6">
        <v>9.1941176470588235E-2</v>
      </c>
      <c r="J65" s="6">
        <v>0.50797058823529406</v>
      </c>
      <c r="K65" s="6">
        <v>0.64673529411764696</v>
      </c>
      <c r="L65" s="6">
        <v>0</v>
      </c>
      <c r="M65" s="6">
        <v>0.11758823529411765</v>
      </c>
      <c r="N65" s="6">
        <v>22.943147058823527</v>
      </c>
      <c r="O65" s="6">
        <v>0.15788235294117645</v>
      </c>
      <c r="P65" s="6">
        <v>0.16355882352941176</v>
      </c>
      <c r="Q65" s="6">
        <v>2.1279117647058823</v>
      </c>
      <c r="R65" s="6">
        <v>0.21308823529411763</v>
      </c>
      <c r="S65" s="15">
        <v>10.798</v>
      </c>
      <c r="T65" s="15">
        <v>0</v>
      </c>
      <c r="U65" s="15">
        <v>0</v>
      </c>
      <c r="V65" s="6">
        <v>16.178205882352941</v>
      </c>
      <c r="W65" s="6">
        <v>1.987705882352941</v>
      </c>
      <c r="X65" s="6">
        <v>15.404117647058822</v>
      </c>
      <c r="Y65" s="6">
        <v>0.26485294117647057</v>
      </c>
      <c r="Z65" s="6">
        <v>0.50541176470588234</v>
      </c>
      <c r="AA65" s="6">
        <v>7.3441176470588232E-2</v>
      </c>
      <c r="AB65" s="6">
        <v>0.17379411764705879</v>
      </c>
      <c r="AC65" s="6">
        <v>12.714735294117647</v>
      </c>
      <c r="AD65" s="6">
        <v>4.5882352941176464E-2</v>
      </c>
      <c r="AE65" s="6">
        <v>0.19167647058823531</v>
      </c>
      <c r="AF65" s="6">
        <v>0.2243235294117647</v>
      </c>
      <c r="AG65" s="6">
        <v>2.8205882352941174E-2</v>
      </c>
      <c r="AH65" s="6">
        <v>0.41347058823529409</v>
      </c>
      <c r="AI65" s="6">
        <v>0.32449999999999996</v>
      </c>
      <c r="AJ65" s="6">
        <v>6.1185</v>
      </c>
      <c r="AK65" s="4"/>
      <c r="AL65" s="4"/>
      <c r="AM65" s="4"/>
    </row>
    <row r="66" spans="1:39" x14ac:dyDescent="0.25">
      <c r="A66" s="8" t="s">
        <v>99</v>
      </c>
      <c r="B66" s="27" t="s">
        <v>452</v>
      </c>
      <c r="C66" s="8" t="s">
        <v>20</v>
      </c>
      <c r="D66" s="8" t="s">
        <v>23</v>
      </c>
      <c r="E66" s="8">
        <v>1</v>
      </c>
      <c r="F66" s="8" t="s">
        <v>17</v>
      </c>
      <c r="G66" s="8" t="s">
        <v>1012</v>
      </c>
      <c r="H66" s="5">
        <f t="shared" ref="H66:H129" si="1">SUM(I66:M66,N66:R66,S66:AJ66)</f>
        <v>287.68088235294113</v>
      </c>
      <c r="I66" s="6">
        <v>0.20585294117647057</v>
      </c>
      <c r="J66" s="6">
        <v>0.97852941176470576</v>
      </c>
      <c r="K66" s="6">
        <v>1.3388235294117645</v>
      </c>
      <c r="L66" s="6">
        <v>0</v>
      </c>
      <c r="M66" s="6">
        <v>0.37202941176470583</v>
      </c>
      <c r="N66" s="6">
        <v>79.936323529411752</v>
      </c>
      <c r="O66" s="6">
        <v>0.17388235294117646</v>
      </c>
      <c r="P66" s="6">
        <v>0.17308823529411763</v>
      </c>
      <c r="Q66" s="6">
        <v>6.9677941176470588</v>
      </c>
      <c r="R66" s="6">
        <v>0.63982352941176468</v>
      </c>
      <c r="S66" s="16">
        <v>33.898970588235294</v>
      </c>
      <c r="T66" s="16">
        <v>0</v>
      </c>
      <c r="U66" s="16">
        <v>0</v>
      </c>
      <c r="V66" s="6">
        <v>35.839058823529413</v>
      </c>
      <c r="W66" s="6">
        <v>5.5434999999999999</v>
      </c>
      <c r="X66" s="6">
        <v>55.284647058823516</v>
      </c>
      <c r="Y66" s="6">
        <v>0.86664705882352933</v>
      </c>
      <c r="Z66" s="6">
        <v>1.8406176470588234</v>
      </c>
      <c r="AA66" s="6">
        <v>0.52861764705882353</v>
      </c>
      <c r="AB66" s="6">
        <v>0.66947058823529404</v>
      </c>
      <c r="AC66" s="6">
        <v>41.927529411764702</v>
      </c>
      <c r="AD66" s="6">
        <v>0.18202941176470586</v>
      </c>
      <c r="AE66" s="6">
        <v>1.0176176470588234</v>
      </c>
      <c r="AF66" s="6">
        <v>0.75797058823529406</v>
      </c>
      <c r="AG66" s="6">
        <v>0.10467647058823527</v>
      </c>
      <c r="AH66" s="6">
        <v>1.2006176470588235</v>
      </c>
      <c r="AI66" s="6">
        <v>0.75588235294117645</v>
      </c>
      <c r="AJ66" s="6">
        <v>16.476882352941175</v>
      </c>
      <c r="AK66" s="4"/>
      <c r="AL66" s="4"/>
      <c r="AM66" s="4"/>
    </row>
    <row r="67" spans="1:39" x14ac:dyDescent="0.25">
      <c r="A67" s="7" t="s">
        <v>100</v>
      </c>
      <c r="B67" s="27" t="s">
        <v>453</v>
      </c>
      <c r="C67" s="7" t="s">
        <v>20</v>
      </c>
      <c r="D67" s="7" t="s">
        <v>37</v>
      </c>
      <c r="E67" s="7">
        <v>2</v>
      </c>
      <c r="F67" s="7" t="s">
        <v>17</v>
      </c>
      <c r="G67" s="8" t="s">
        <v>1012</v>
      </c>
      <c r="H67" s="5">
        <f t="shared" si="1"/>
        <v>95.5089411764706</v>
      </c>
      <c r="I67" s="6">
        <v>0.12908823529411764</v>
      </c>
      <c r="J67" s="6">
        <v>0.47432352941176464</v>
      </c>
      <c r="K67" s="6">
        <v>0.56470588235294117</v>
      </c>
      <c r="L67" s="6">
        <v>0</v>
      </c>
      <c r="M67" s="6">
        <v>0.14382352941176468</v>
      </c>
      <c r="N67" s="6">
        <v>22.782647058823528</v>
      </c>
      <c r="O67" s="6">
        <v>0.31258823529411761</v>
      </c>
      <c r="P67" s="6">
        <v>0.11467647058823528</v>
      </c>
      <c r="Q67" s="6">
        <v>2.1069117647058824</v>
      </c>
      <c r="R67" s="6">
        <v>0.21191176470588236</v>
      </c>
      <c r="S67" s="15">
        <v>10.253</v>
      </c>
      <c r="T67" s="15">
        <v>0</v>
      </c>
      <c r="U67" s="15">
        <v>0</v>
      </c>
      <c r="V67" s="6">
        <v>16.832558823529411</v>
      </c>
      <c r="W67" s="6">
        <v>2.2203529411764706</v>
      </c>
      <c r="X67" s="6">
        <v>17.942735294117647</v>
      </c>
      <c r="Y67" s="6">
        <v>0.22097058823529411</v>
      </c>
      <c r="Z67" s="6">
        <v>0.55602941176470577</v>
      </c>
      <c r="AA67" s="6">
        <v>7.435294117647058E-2</v>
      </c>
      <c r="AB67" s="6">
        <v>0.20579411764705882</v>
      </c>
      <c r="AC67" s="6">
        <v>12.784676470588236</v>
      </c>
      <c r="AD67" s="6">
        <v>5.5147058823529403E-2</v>
      </c>
      <c r="AE67" s="6">
        <v>0.18494117647058825</v>
      </c>
      <c r="AF67" s="6">
        <v>0.20855882352941174</v>
      </c>
      <c r="AG67" s="6">
        <v>3.9558823529411764E-2</v>
      </c>
      <c r="AH67" s="6">
        <v>0.42205882352941171</v>
      </c>
      <c r="AI67" s="6">
        <v>0.32873529411764701</v>
      </c>
      <c r="AJ67" s="6">
        <v>6.3387941176470584</v>
      </c>
      <c r="AK67" s="4"/>
      <c r="AL67" s="4"/>
      <c r="AM67" s="4"/>
    </row>
    <row r="68" spans="1:39" x14ac:dyDescent="0.25">
      <c r="A68" s="7" t="s">
        <v>101</v>
      </c>
      <c r="B68" s="27" t="s">
        <v>454</v>
      </c>
      <c r="C68" s="7" t="s">
        <v>20</v>
      </c>
      <c r="D68" s="7" t="s">
        <v>39</v>
      </c>
      <c r="E68" s="7">
        <v>2</v>
      </c>
      <c r="F68" s="7" t="s">
        <v>17</v>
      </c>
      <c r="G68" s="8" t="s">
        <v>1012</v>
      </c>
      <c r="H68" s="5">
        <f t="shared" si="1"/>
        <v>94.479029411764685</v>
      </c>
      <c r="I68" s="6">
        <v>0.12049999999999998</v>
      </c>
      <c r="J68" s="6">
        <v>0.42197058823529404</v>
      </c>
      <c r="K68" s="6">
        <v>0.45352941176470585</v>
      </c>
      <c r="L68" s="6">
        <v>0</v>
      </c>
      <c r="M68" s="6">
        <v>0.12614705882352939</v>
      </c>
      <c r="N68" s="6">
        <v>22.367676470588233</v>
      </c>
      <c r="O68" s="6">
        <v>0.14999999999999997</v>
      </c>
      <c r="P68" s="6">
        <v>0.18032352941176469</v>
      </c>
      <c r="Q68" s="6">
        <v>1.3747941176470588</v>
      </c>
      <c r="R68" s="6">
        <v>0.22476470588235292</v>
      </c>
      <c r="S68" s="15">
        <v>13.013</v>
      </c>
      <c r="T68" s="15">
        <v>0</v>
      </c>
      <c r="U68" s="15">
        <v>0</v>
      </c>
      <c r="V68" s="6">
        <v>11.511529411764705</v>
      </c>
      <c r="W68" s="6">
        <v>1.389941176470588</v>
      </c>
      <c r="X68" s="6">
        <v>16.857823529411764</v>
      </c>
      <c r="Y68" s="6">
        <v>0.33176470588235291</v>
      </c>
      <c r="Z68" s="6">
        <v>0.42502941176470582</v>
      </c>
      <c r="AA68" s="6">
        <v>0.13761764705882351</v>
      </c>
      <c r="AB68" s="6">
        <v>0.14132352941176471</v>
      </c>
      <c r="AC68" s="6">
        <v>16.342852941176467</v>
      </c>
      <c r="AD68" s="6">
        <v>3.9470588235294111E-2</v>
      </c>
      <c r="AE68" s="6">
        <v>0.32161764705882351</v>
      </c>
      <c r="AF68" s="6">
        <v>0.2602647058823529</v>
      </c>
      <c r="AG68" s="6">
        <v>3.638235294117647E-2</v>
      </c>
      <c r="AH68" s="6">
        <v>0.39402941176470585</v>
      </c>
      <c r="AI68" s="6">
        <v>0.30870588235294116</v>
      </c>
      <c r="AJ68" s="6">
        <v>7.5479705882352937</v>
      </c>
      <c r="AK68" s="4"/>
      <c r="AL68" s="4"/>
      <c r="AM68" s="4"/>
    </row>
    <row r="69" spans="1:39" x14ac:dyDescent="0.25">
      <c r="A69" s="7" t="s">
        <v>102</v>
      </c>
      <c r="B69" s="27" t="s">
        <v>455</v>
      </c>
      <c r="C69" s="7" t="s">
        <v>20</v>
      </c>
      <c r="D69" s="7" t="s">
        <v>41</v>
      </c>
      <c r="E69" s="7">
        <v>2</v>
      </c>
      <c r="F69" s="7" t="s">
        <v>17</v>
      </c>
      <c r="G69" s="8" t="s">
        <v>1012</v>
      </c>
      <c r="H69" s="5">
        <f t="shared" si="1"/>
        <v>90.743588235294112</v>
      </c>
      <c r="I69" s="6">
        <v>8.4294117647058825E-2</v>
      </c>
      <c r="J69" s="6">
        <v>0.37667647058823522</v>
      </c>
      <c r="K69" s="6">
        <v>0.53279411764705875</v>
      </c>
      <c r="L69" s="6">
        <v>0</v>
      </c>
      <c r="M69" s="6">
        <v>0.12120588235294116</v>
      </c>
      <c r="N69" s="6">
        <v>20.684823529411762</v>
      </c>
      <c r="O69" s="6">
        <v>0.32502941176470584</v>
      </c>
      <c r="P69" s="6">
        <v>0.38705882352941173</v>
      </c>
      <c r="Q69" s="6">
        <v>1.3996470588235295</v>
      </c>
      <c r="R69" s="6">
        <v>0.2107941176470588</v>
      </c>
      <c r="S69" s="15">
        <v>11.862</v>
      </c>
      <c r="T69" s="15">
        <v>3.3000000000000002E-2</v>
      </c>
      <c r="U69" s="15">
        <v>4.4999999999999998E-2</v>
      </c>
      <c r="V69" s="6">
        <v>16.784352941176472</v>
      </c>
      <c r="W69" s="6">
        <v>1.6991764705882353</v>
      </c>
      <c r="X69" s="6">
        <v>14.552999999999997</v>
      </c>
      <c r="Y69" s="6">
        <v>0.21332352941176469</v>
      </c>
      <c r="Z69" s="6">
        <v>0.41829411764705882</v>
      </c>
      <c r="AA69" s="6">
        <v>7.5264705882352942E-2</v>
      </c>
      <c r="AB69" s="6">
        <v>0.18829411764705878</v>
      </c>
      <c r="AC69" s="6">
        <v>13.193352941176469</v>
      </c>
      <c r="AD69" s="6">
        <v>4.0647058823529411E-2</v>
      </c>
      <c r="AE69" s="6">
        <v>0.19585294117647056</v>
      </c>
      <c r="AF69" s="6">
        <v>0.24941176470588233</v>
      </c>
      <c r="AG69" s="6">
        <v>3.4441176470588232E-2</v>
      </c>
      <c r="AH69" s="6">
        <v>0.37752941176470584</v>
      </c>
      <c r="AI69" s="6">
        <v>0.34099999999999997</v>
      </c>
      <c r="AJ69" s="6">
        <v>6.3173235294117633</v>
      </c>
      <c r="AK69" s="4"/>
      <c r="AL69" s="4"/>
      <c r="AM69" s="4"/>
    </row>
    <row r="70" spans="1:39" x14ac:dyDescent="0.25">
      <c r="A70" s="8" t="s">
        <v>103</v>
      </c>
      <c r="B70" s="27" t="s">
        <v>456</v>
      </c>
      <c r="C70" s="8" t="s">
        <v>20</v>
      </c>
      <c r="D70" s="8" t="s">
        <v>33</v>
      </c>
      <c r="E70" s="8">
        <v>2</v>
      </c>
      <c r="F70" s="8" t="s">
        <v>17</v>
      </c>
      <c r="G70" s="8" t="s">
        <v>1012</v>
      </c>
      <c r="H70" s="5">
        <f t="shared" si="1"/>
        <v>308.2800294117647</v>
      </c>
      <c r="I70" s="6">
        <v>0.21182352941176469</v>
      </c>
      <c r="J70" s="6">
        <v>0.91564705882352926</v>
      </c>
      <c r="K70" s="6">
        <v>1.1467647058823529</v>
      </c>
      <c r="L70" s="6">
        <v>0</v>
      </c>
      <c r="M70" s="6">
        <v>0.37026470588235294</v>
      </c>
      <c r="N70" s="6">
        <v>75.183058823529407</v>
      </c>
      <c r="O70" s="6">
        <v>0.78079411764705875</v>
      </c>
      <c r="P70" s="6">
        <v>1.1030588235294116</v>
      </c>
      <c r="Q70" s="6">
        <v>5.2557352941176472</v>
      </c>
      <c r="R70" s="6">
        <v>0.71599999999999986</v>
      </c>
      <c r="S70" s="16">
        <v>37.854352941176472</v>
      </c>
      <c r="T70" s="16">
        <v>7.6941176470588221E-2</v>
      </c>
      <c r="U70" s="16">
        <v>0.14229411764705882</v>
      </c>
      <c r="V70" s="6">
        <v>42.053676470588229</v>
      </c>
      <c r="W70" s="6">
        <v>6.2735294117647058</v>
      </c>
      <c r="X70" s="6">
        <v>53.858147058823526</v>
      </c>
      <c r="Y70" s="6">
        <v>0.81029411764705883</v>
      </c>
      <c r="Z70" s="6">
        <v>1.3873529411764705</v>
      </c>
      <c r="AA70" s="6">
        <v>0.44288235294117639</v>
      </c>
      <c r="AB70" s="6">
        <v>0.72405882352941175</v>
      </c>
      <c r="AC70" s="6">
        <v>52.677294117647058</v>
      </c>
      <c r="AD70" s="6">
        <v>0.12394117647058822</v>
      </c>
      <c r="AE70" s="6">
        <v>0.99688235294117644</v>
      </c>
      <c r="AF70" s="6">
        <v>0.73294117647058821</v>
      </c>
      <c r="AG70" s="6">
        <v>9.2147058823529401E-2</v>
      </c>
      <c r="AH70" s="6">
        <v>1.2823235294117645</v>
      </c>
      <c r="AI70" s="6">
        <v>1.0669411764705883</v>
      </c>
      <c r="AJ70" s="6">
        <v>22.000882352941176</v>
      </c>
      <c r="AK70" s="4"/>
      <c r="AL70" s="4"/>
      <c r="AM70" s="4"/>
    </row>
    <row r="71" spans="1:39" x14ac:dyDescent="0.25">
      <c r="A71" s="8" t="s">
        <v>104</v>
      </c>
      <c r="B71" s="27" t="s">
        <v>457</v>
      </c>
      <c r="C71" s="8" t="s">
        <v>20</v>
      </c>
      <c r="D71" s="8" t="s">
        <v>35</v>
      </c>
      <c r="E71" s="8">
        <v>2</v>
      </c>
      <c r="F71" s="8" t="s">
        <v>17</v>
      </c>
      <c r="G71" s="8" t="s">
        <v>1012</v>
      </c>
      <c r="H71" s="5">
        <f t="shared" si="1"/>
        <v>314.37752941176467</v>
      </c>
      <c r="I71" s="6">
        <v>0.20035294117647057</v>
      </c>
      <c r="J71" s="6">
        <v>0.9335882352941175</v>
      </c>
      <c r="K71" s="6">
        <v>1.3497941176470587</v>
      </c>
      <c r="L71" s="6">
        <v>0</v>
      </c>
      <c r="M71" s="6">
        <v>0.40373529411764703</v>
      </c>
      <c r="N71" s="6">
        <v>77.719029411764694</v>
      </c>
      <c r="O71" s="6">
        <v>1.6916470588235293</v>
      </c>
      <c r="P71" s="6">
        <v>1.7998235294117646</v>
      </c>
      <c r="Q71" s="6">
        <v>6.7459705882352932</v>
      </c>
      <c r="R71" s="6">
        <v>0.79208823529411754</v>
      </c>
      <c r="S71" s="16">
        <v>34.874147058823525</v>
      </c>
      <c r="T71" s="16">
        <v>5.2911764705882346E-2</v>
      </c>
      <c r="U71" s="16">
        <v>0.10758823529411764</v>
      </c>
      <c r="V71" s="6">
        <v>54.512735294117647</v>
      </c>
      <c r="W71" s="6">
        <v>6.3575882352941164</v>
      </c>
      <c r="X71" s="6">
        <v>52.111705882352936</v>
      </c>
      <c r="Y71" s="6">
        <v>0.99188235294117633</v>
      </c>
      <c r="Z71" s="6">
        <v>1.6200294117647058</v>
      </c>
      <c r="AA71" s="6">
        <v>0.19961764705882351</v>
      </c>
      <c r="AB71" s="6">
        <v>0.44802941176470584</v>
      </c>
      <c r="AC71" s="6">
        <v>47.37705882352941</v>
      </c>
      <c r="AD71" s="6">
        <v>0.12182352941176469</v>
      </c>
      <c r="AE71" s="6">
        <v>0.61241176470588232</v>
      </c>
      <c r="AF71" s="6">
        <v>0.6276176470588235</v>
      </c>
      <c r="AG71" s="6">
        <v>9.3970588235294111E-2</v>
      </c>
      <c r="AH71" s="6">
        <v>1.4492647058823529</v>
      </c>
      <c r="AI71" s="6">
        <v>0.92288235294117638</v>
      </c>
      <c r="AJ71" s="6">
        <v>20.260235294117646</v>
      </c>
      <c r="AK71" s="4"/>
      <c r="AL71" s="4"/>
      <c r="AM71" s="4"/>
    </row>
    <row r="72" spans="1:39" x14ac:dyDescent="0.25">
      <c r="A72" s="7" t="s">
        <v>105</v>
      </c>
      <c r="B72" s="27" t="s">
        <v>458</v>
      </c>
      <c r="C72" s="7" t="s">
        <v>20</v>
      </c>
      <c r="D72" s="7" t="s">
        <v>45</v>
      </c>
      <c r="E72" s="7">
        <v>6</v>
      </c>
      <c r="F72" s="8" t="s">
        <v>17</v>
      </c>
      <c r="G72" s="8" t="s">
        <v>1012</v>
      </c>
      <c r="H72" s="5">
        <f t="shared" si="1"/>
        <v>99.774323529411745</v>
      </c>
      <c r="I72" s="6">
        <v>6.5500000000000003E-2</v>
      </c>
      <c r="J72" s="6">
        <v>0.39229411764705879</v>
      </c>
      <c r="K72" s="6">
        <v>0.56558823529411761</v>
      </c>
      <c r="L72" s="6">
        <v>0</v>
      </c>
      <c r="M72" s="6">
        <v>0.12552941176470589</v>
      </c>
      <c r="N72" s="6">
        <v>22.255205882352939</v>
      </c>
      <c r="O72" s="6">
        <v>0.40549999999999997</v>
      </c>
      <c r="P72" s="6">
        <v>0.54926470588235288</v>
      </c>
      <c r="Q72" s="6">
        <v>1.3354117647058823</v>
      </c>
      <c r="R72" s="6">
        <v>0.23320588235294115</v>
      </c>
      <c r="S72" s="15">
        <v>12.916</v>
      </c>
      <c r="T72" s="15">
        <v>9.5000000000000001E-2</v>
      </c>
      <c r="U72" s="15">
        <v>0.157</v>
      </c>
      <c r="V72" s="6">
        <v>18.574705882352941</v>
      </c>
      <c r="W72" s="6">
        <v>1.7598529411764705</v>
      </c>
      <c r="X72" s="6">
        <v>15.174499999999998</v>
      </c>
      <c r="Y72" s="6">
        <v>0.24664705882352941</v>
      </c>
      <c r="Z72" s="6">
        <v>0.34929411764705881</v>
      </c>
      <c r="AA72" s="6">
        <v>7.2852941176470579E-2</v>
      </c>
      <c r="AB72" s="6">
        <v>0.20626470588235291</v>
      </c>
      <c r="AC72" s="6">
        <v>15.765823529411763</v>
      </c>
      <c r="AD72" s="6">
        <v>3.6058823529411761E-2</v>
      </c>
      <c r="AE72" s="6">
        <v>0.20232352941176471</v>
      </c>
      <c r="AF72" s="6">
        <v>0.19005882352941175</v>
      </c>
      <c r="AG72" s="6">
        <v>3.3735294117647051E-2</v>
      </c>
      <c r="AH72" s="6">
        <v>0.41935294117647059</v>
      </c>
      <c r="AI72" s="6">
        <v>0.33249999999999996</v>
      </c>
      <c r="AJ72" s="6">
        <v>7.3148529411764702</v>
      </c>
      <c r="AK72" s="4"/>
      <c r="AL72" s="4"/>
      <c r="AM72" s="4"/>
    </row>
    <row r="73" spans="1:39" x14ac:dyDescent="0.25">
      <c r="A73" s="7" t="s">
        <v>106</v>
      </c>
      <c r="B73" s="27" t="s">
        <v>459</v>
      </c>
      <c r="C73" s="7" t="s">
        <v>20</v>
      </c>
      <c r="D73" s="7" t="s">
        <v>47</v>
      </c>
      <c r="E73" s="7">
        <v>6</v>
      </c>
      <c r="F73" s="8" t="s">
        <v>17</v>
      </c>
      <c r="G73" s="8" t="s">
        <v>1012</v>
      </c>
      <c r="H73" s="5">
        <f t="shared" si="1"/>
        <v>101.36994117647056</v>
      </c>
      <c r="I73" s="6">
        <v>6.6411764705882351E-2</v>
      </c>
      <c r="J73" s="6">
        <v>0.36552941176470588</v>
      </c>
      <c r="K73" s="6">
        <v>0.55182352941176471</v>
      </c>
      <c r="L73" s="6">
        <v>0</v>
      </c>
      <c r="M73" s="6">
        <v>0.15402941176470586</v>
      </c>
      <c r="N73" s="6">
        <v>22.842205882352939</v>
      </c>
      <c r="O73" s="6">
        <v>0.2602647058823529</v>
      </c>
      <c r="P73" s="6">
        <v>0.31676470588235295</v>
      </c>
      <c r="Q73" s="6">
        <v>1.3631764705882352</v>
      </c>
      <c r="R73" s="6">
        <v>0.25147058823529411</v>
      </c>
      <c r="S73" s="15">
        <v>14.207000000000001</v>
      </c>
      <c r="T73" s="15">
        <v>6.7000000000000004E-2</v>
      </c>
      <c r="U73" s="15">
        <v>0.13</v>
      </c>
      <c r="V73" s="6">
        <v>15.477235294117646</v>
      </c>
      <c r="W73" s="6">
        <v>1.9329705882352939</v>
      </c>
      <c r="X73" s="6">
        <v>15.885499999999999</v>
      </c>
      <c r="Y73" s="6">
        <v>0.24255882352941174</v>
      </c>
      <c r="Z73" s="6">
        <v>0.33214705882352941</v>
      </c>
      <c r="AA73" s="6">
        <v>7.8264705882352945E-2</v>
      </c>
      <c r="AB73" s="6">
        <v>0.1966470588235294</v>
      </c>
      <c r="AC73" s="6">
        <v>17.639823529411764</v>
      </c>
      <c r="AD73" s="6">
        <v>3.3117647058823522E-2</v>
      </c>
      <c r="AE73" s="6">
        <v>0.23802941176470588</v>
      </c>
      <c r="AF73" s="6">
        <v>0.21499999999999997</v>
      </c>
      <c r="AG73" s="6">
        <v>3.9558823529411764E-2</v>
      </c>
      <c r="AH73" s="6">
        <v>0.4718235294117647</v>
      </c>
      <c r="AI73" s="6">
        <v>0.41723529411764709</v>
      </c>
      <c r="AJ73" s="6">
        <v>7.5943529411764699</v>
      </c>
      <c r="AK73" s="4"/>
      <c r="AL73" s="4"/>
      <c r="AM73" s="4"/>
    </row>
    <row r="74" spans="1:39" x14ac:dyDescent="0.25">
      <c r="A74" s="7" t="s">
        <v>107</v>
      </c>
      <c r="B74" s="27" t="s">
        <v>460</v>
      </c>
      <c r="C74" s="7" t="s">
        <v>20</v>
      </c>
      <c r="D74" s="7" t="s">
        <v>49</v>
      </c>
      <c r="E74" s="7">
        <v>6</v>
      </c>
      <c r="F74" s="8" t="s">
        <v>17</v>
      </c>
      <c r="G74" s="8" t="s">
        <v>1012</v>
      </c>
      <c r="H74" s="5">
        <f t="shared" si="1"/>
        <v>80.092382352941158</v>
      </c>
      <c r="I74" s="6">
        <v>7.0676470588235285E-2</v>
      </c>
      <c r="J74" s="6">
        <v>0.36735294117647055</v>
      </c>
      <c r="K74" s="6">
        <v>0.4548823529411764</v>
      </c>
      <c r="L74" s="6">
        <v>0</v>
      </c>
      <c r="M74" s="6">
        <v>0.10705882352941176</v>
      </c>
      <c r="N74" s="6">
        <v>16.711382352941175</v>
      </c>
      <c r="O74" s="6">
        <v>0.33897058823529408</v>
      </c>
      <c r="P74" s="6">
        <v>0.45767647058823524</v>
      </c>
      <c r="Q74" s="6">
        <v>0.87649999999999995</v>
      </c>
      <c r="R74" s="6">
        <v>0.20288235294117646</v>
      </c>
      <c r="S74" s="15">
        <v>11.253</v>
      </c>
      <c r="T74" s="15">
        <v>9.5000000000000001E-2</v>
      </c>
      <c r="U74" s="15">
        <v>0.17399999999999999</v>
      </c>
      <c r="V74" s="6">
        <v>13.110882352941175</v>
      </c>
      <c r="W74" s="6">
        <v>1.5156470588235293</v>
      </c>
      <c r="X74" s="6">
        <v>12.021117647058823</v>
      </c>
      <c r="Y74" s="6">
        <v>0.16991176470588235</v>
      </c>
      <c r="Z74" s="6">
        <v>0.23167647058823529</v>
      </c>
      <c r="AA74" s="6">
        <v>6.5823529411764697E-2</v>
      </c>
      <c r="AB74" s="6">
        <v>0.17564705882352941</v>
      </c>
      <c r="AC74" s="6">
        <v>14.132499999999999</v>
      </c>
      <c r="AD74" s="6">
        <v>2.2382352941176468E-2</v>
      </c>
      <c r="AE74" s="6">
        <v>0.19264705882352939</v>
      </c>
      <c r="AF74" s="6">
        <v>0.1914411764705882</v>
      </c>
      <c r="AG74" s="6">
        <v>3.4647058823529413E-2</v>
      </c>
      <c r="AH74" s="6">
        <v>0.35288235294117642</v>
      </c>
      <c r="AI74" s="6">
        <v>0.33923529411764702</v>
      </c>
      <c r="AJ74" s="6">
        <v>6.4265588235294109</v>
      </c>
      <c r="AK74" s="4"/>
      <c r="AL74" s="4"/>
      <c r="AM74" s="4"/>
    </row>
    <row r="75" spans="1:39" x14ac:dyDescent="0.25">
      <c r="A75" s="8" t="s">
        <v>108</v>
      </c>
      <c r="B75" s="27" t="s">
        <v>461</v>
      </c>
      <c r="C75" s="8" t="s">
        <v>20</v>
      </c>
      <c r="D75" s="8" t="s">
        <v>43</v>
      </c>
      <c r="E75" s="8">
        <v>6</v>
      </c>
      <c r="F75" s="8" t="s">
        <v>17</v>
      </c>
      <c r="G75" s="8" t="s">
        <v>1012</v>
      </c>
      <c r="H75" s="5">
        <f t="shared" si="1"/>
        <v>289.30847058823525</v>
      </c>
      <c r="I75" s="6">
        <v>0.21261764705882349</v>
      </c>
      <c r="J75" s="6">
        <v>1.0745882352941176</v>
      </c>
      <c r="K75" s="6">
        <v>1.0552058823529411</v>
      </c>
      <c r="L75" s="6">
        <v>0</v>
      </c>
      <c r="M75" s="6">
        <v>0.38999999999999996</v>
      </c>
      <c r="N75" s="6">
        <v>70.516411764705879</v>
      </c>
      <c r="O75" s="6">
        <v>1.0184117647058823</v>
      </c>
      <c r="P75" s="6">
        <v>1.8609117647058822</v>
      </c>
      <c r="Q75" s="6">
        <v>2.9699411764705879</v>
      </c>
      <c r="R75" s="6">
        <v>0.73997058823529405</v>
      </c>
      <c r="S75" s="16">
        <v>40.106058823529409</v>
      </c>
      <c r="T75" s="16">
        <v>0.15032352941176469</v>
      </c>
      <c r="U75" s="16">
        <v>0.42594117647058821</v>
      </c>
      <c r="V75" s="6">
        <v>38.865441176470583</v>
      </c>
      <c r="W75" s="6">
        <v>4.152441176470588</v>
      </c>
      <c r="X75" s="6">
        <v>47.548529411764697</v>
      </c>
      <c r="Y75" s="6">
        <v>0.78999999999999992</v>
      </c>
      <c r="Z75" s="6">
        <v>0.9039117647058823</v>
      </c>
      <c r="AA75" s="6">
        <v>0.46652941176470586</v>
      </c>
      <c r="AB75" s="6">
        <v>0.64999999999999991</v>
      </c>
      <c r="AC75" s="6">
        <v>50.318676470588237</v>
      </c>
      <c r="AD75" s="6">
        <v>0.11638235294117646</v>
      </c>
      <c r="AE75" s="6">
        <v>1.096705882352941</v>
      </c>
      <c r="AF75" s="6">
        <v>0.67805882352941171</v>
      </c>
      <c r="AG75" s="6">
        <v>0.11170588235294117</v>
      </c>
      <c r="AH75" s="6">
        <v>1.1072352941176471</v>
      </c>
      <c r="AI75" s="6">
        <v>1.0108823529411763</v>
      </c>
      <c r="AJ75" s="6">
        <v>20.971588235294117</v>
      </c>
      <c r="AK75" s="4"/>
      <c r="AL75" s="4"/>
      <c r="AM75" s="4"/>
    </row>
    <row r="76" spans="1:39" x14ac:dyDescent="0.25">
      <c r="A76" s="7" t="s">
        <v>109</v>
      </c>
      <c r="B76" s="27" t="s">
        <v>462</v>
      </c>
      <c r="C76" s="7" t="s">
        <v>20</v>
      </c>
      <c r="D76" s="7" t="s">
        <v>21</v>
      </c>
      <c r="E76" s="7">
        <v>0</v>
      </c>
      <c r="F76" s="7" t="s">
        <v>18</v>
      </c>
      <c r="G76" s="8" t="s">
        <v>1012</v>
      </c>
      <c r="H76" s="5">
        <f t="shared" si="1"/>
        <v>112.4970882352941</v>
      </c>
      <c r="I76" s="6">
        <v>5.4882352941176465E-2</v>
      </c>
      <c r="J76" s="6">
        <v>0.27894117647058819</v>
      </c>
      <c r="K76" s="6">
        <v>2.2933823529411765</v>
      </c>
      <c r="L76" s="6">
        <v>0</v>
      </c>
      <c r="M76" s="6">
        <v>0.1401470588235294</v>
      </c>
      <c r="N76" s="6">
        <v>37.593294117647055</v>
      </c>
      <c r="O76" s="6">
        <v>0</v>
      </c>
      <c r="P76" s="6">
        <v>0</v>
      </c>
      <c r="Q76" s="6">
        <v>4.6784117647058823</v>
      </c>
      <c r="R76" s="6">
        <v>0.15867647058823528</v>
      </c>
      <c r="S76" s="15">
        <v>11.583</v>
      </c>
      <c r="T76" s="15">
        <v>0</v>
      </c>
      <c r="U76" s="15">
        <v>0</v>
      </c>
      <c r="V76" s="6">
        <v>26.697382352941172</v>
      </c>
      <c r="W76" s="6">
        <v>2.0006764705882349</v>
      </c>
      <c r="X76" s="6">
        <v>12.782147058823529</v>
      </c>
      <c r="Y76" s="6">
        <v>0.16188235294117645</v>
      </c>
      <c r="Z76" s="6">
        <v>0.41779411764705882</v>
      </c>
      <c r="AA76" s="6">
        <v>0.19779411764705881</v>
      </c>
      <c r="AB76" s="6">
        <v>0.36326470588235288</v>
      </c>
      <c r="AC76" s="6">
        <v>7.4469411764705882</v>
      </c>
      <c r="AD76" s="6">
        <v>1.6852941176470588E-2</v>
      </c>
      <c r="AE76" s="6">
        <v>0.27861764705882347</v>
      </c>
      <c r="AF76" s="6">
        <v>5.9499999999999997E-2</v>
      </c>
      <c r="AG76" s="6">
        <v>9.5264705882352946E-2</v>
      </c>
      <c r="AH76" s="6">
        <v>2.2640882352941172</v>
      </c>
      <c r="AI76" s="6">
        <v>0.54902941176470588</v>
      </c>
      <c r="AJ76" s="6">
        <v>2.3851176470588231</v>
      </c>
      <c r="AK76" s="4"/>
      <c r="AL76" s="4"/>
      <c r="AM76" s="4"/>
    </row>
    <row r="77" spans="1:39" x14ac:dyDescent="0.25">
      <c r="A77" s="8" t="s">
        <v>110</v>
      </c>
      <c r="B77" s="27" t="s">
        <v>463</v>
      </c>
      <c r="C77" s="8" t="s">
        <v>20</v>
      </c>
      <c r="D77" s="8" t="s">
        <v>23</v>
      </c>
      <c r="E77" s="8">
        <v>1</v>
      </c>
      <c r="F77" s="8" t="s">
        <v>18</v>
      </c>
      <c r="G77" s="8" t="s">
        <v>1012</v>
      </c>
      <c r="H77" s="5">
        <f t="shared" si="1"/>
        <v>201.91258823529409</v>
      </c>
      <c r="I77" s="6">
        <v>0.25185294117647056</v>
      </c>
      <c r="J77" s="6">
        <v>1.2465294117647057</v>
      </c>
      <c r="K77" s="6">
        <v>3.7539999999999996</v>
      </c>
      <c r="L77" s="6">
        <v>0</v>
      </c>
      <c r="M77" s="6">
        <v>0.45814705882352935</v>
      </c>
      <c r="N77" s="6">
        <v>80.427323529411751</v>
      </c>
      <c r="O77" s="6">
        <v>4.7411764705882348E-2</v>
      </c>
      <c r="P77" s="6">
        <v>3.8441176470588236E-2</v>
      </c>
      <c r="Q77" s="6">
        <v>6.0972058823529398</v>
      </c>
      <c r="R77" s="6">
        <v>0.43744117647058822</v>
      </c>
      <c r="S77" s="16">
        <v>26.219588235294115</v>
      </c>
      <c r="T77" s="16">
        <v>0</v>
      </c>
      <c r="U77" s="16">
        <v>0</v>
      </c>
      <c r="V77" s="6">
        <v>22.620558823529411</v>
      </c>
      <c r="W77" s="6">
        <v>2.8444117647058822</v>
      </c>
      <c r="X77" s="6">
        <v>18.011470588235291</v>
      </c>
      <c r="Y77" s="6">
        <v>0.48038235294117643</v>
      </c>
      <c r="Z77" s="6">
        <v>0.42091176470588226</v>
      </c>
      <c r="AA77" s="6">
        <v>0.61082352941176465</v>
      </c>
      <c r="AB77" s="6">
        <v>0.59917647058823531</v>
      </c>
      <c r="AC77" s="6">
        <v>21.179382352941175</v>
      </c>
      <c r="AD77" s="6">
        <v>4.3029411764705879E-2</v>
      </c>
      <c r="AE77" s="6">
        <v>0.88717647058823523</v>
      </c>
      <c r="AF77" s="6">
        <v>0.18991176470588234</v>
      </c>
      <c r="AG77" s="6">
        <v>0.29341176470588232</v>
      </c>
      <c r="AH77" s="6">
        <v>7.1486470588235296</v>
      </c>
      <c r="AI77" s="6">
        <v>1.688441176470588</v>
      </c>
      <c r="AJ77" s="6">
        <v>5.9169117647058824</v>
      </c>
      <c r="AK77" s="4"/>
      <c r="AL77" s="4"/>
      <c r="AM77" s="4"/>
    </row>
    <row r="78" spans="1:39" x14ac:dyDescent="0.25">
      <c r="A78" s="8" t="s">
        <v>111</v>
      </c>
      <c r="B78" s="27" t="s">
        <v>464</v>
      </c>
      <c r="C78" s="8" t="s">
        <v>20</v>
      </c>
      <c r="D78" s="8" t="s">
        <v>25</v>
      </c>
      <c r="E78" s="8">
        <v>1</v>
      </c>
      <c r="F78" s="8" t="s">
        <v>18</v>
      </c>
      <c r="G78" s="8" t="s">
        <v>1012</v>
      </c>
      <c r="H78" s="5">
        <f t="shared" si="1"/>
        <v>336.0537352941177</v>
      </c>
      <c r="I78" s="6">
        <v>0.24776470588235291</v>
      </c>
      <c r="J78" s="6">
        <v>1.0978235294117646</v>
      </c>
      <c r="K78" s="6">
        <v>4.3644411764705877</v>
      </c>
      <c r="L78" s="6">
        <v>0</v>
      </c>
      <c r="M78" s="6">
        <v>0.51282352941176468</v>
      </c>
      <c r="N78" s="6">
        <v>107.16338235294117</v>
      </c>
      <c r="O78" s="6">
        <v>9.2411764705882332E-2</v>
      </c>
      <c r="P78" s="6">
        <v>0.124</v>
      </c>
      <c r="Q78" s="6">
        <v>8.8116176470588226</v>
      </c>
      <c r="R78" s="6">
        <v>0.52888235294117647</v>
      </c>
      <c r="S78" s="16">
        <v>32.004823529411766</v>
      </c>
      <c r="T78" s="16">
        <v>0</v>
      </c>
      <c r="U78" s="16">
        <v>5.5882352941176471E-4</v>
      </c>
      <c r="V78" s="6">
        <v>98.119058823529414</v>
      </c>
      <c r="W78" s="6">
        <v>3.7734117647058825</v>
      </c>
      <c r="X78" s="6">
        <v>35.09338235294117</v>
      </c>
      <c r="Y78" s="6">
        <v>0.4785588235294117</v>
      </c>
      <c r="Z78" s="6">
        <v>1.9539411764705883</v>
      </c>
      <c r="AA78" s="6">
        <v>1.2111470588235294</v>
      </c>
      <c r="AB78" s="6">
        <v>0.76332352941176462</v>
      </c>
      <c r="AC78" s="6">
        <v>22.563558823529412</v>
      </c>
      <c r="AD78" s="6">
        <v>4.4558823529411762E-2</v>
      </c>
      <c r="AE78" s="6">
        <v>0.99994117647058822</v>
      </c>
      <c r="AF78" s="6">
        <v>0.19635294117647056</v>
      </c>
      <c r="AG78" s="6">
        <v>0.30676470588235294</v>
      </c>
      <c r="AH78" s="6">
        <v>7.6583235294117635</v>
      </c>
      <c r="AI78" s="6">
        <v>1.7619999999999998</v>
      </c>
      <c r="AJ78" s="6">
        <v>6.1808823529411763</v>
      </c>
      <c r="AK78" s="4"/>
      <c r="AL78" s="4"/>
      <c r="AM78" s="4"/>
    </row>
    <row r="79" spans="1:39" x14ac:dyDescent="0.25">
      <c r="A79" s="7" t="s">
        <v>112</v>
      </c>
      <c r="B79" s="27" t="s">
        <v>465</v>
      </c>
      <c r="C79" s="7" t="s">
        <v>20</v>
      </c>
      <c r="D79" s="7" t="s">
        <v>27</v>
      </c>
      <c r="E79" s="7">
        <v>1</v>
      </c>
      <c r="F79" s="7" t="s">
        <v>18</v>
      </c>
      <c r="G79" s="8" t="s">
        <v>1012</v>
      </c>
      <c r="H79" s="5">
        <f t="shared" si="1"/>
        <v>139.66317647058824</v>
      </c>
      <c r="I79" s="6">
        <v>6.7852941176470588E-2</v>
      </c>
      <c r="J79" s="6">
        <v>0.31147058823529405</v>
      </c>
      <c r="K79" s="6">
        <v>2.8663823529411765</v>
      </c>
      <c r="L79" s="6">
        <v>0</v>
      </c>
      <c r="M79" s="6">
        <v>0.13388235294117645</v>
      </c>
      <c r="N79" s="6">
        <v>41.253911764705876</v>
      </c>
      <c r="O79" s="6">
        <v>5.6852941176470585E-2</v>
      </c>
      <c r="P79" s="6">
        <v>5.5E-2</v>
      </c>
      <c r="Q79" s="6">
        <v>7.3139705882352928</v>
      </c>
      <c r="R79" s="6">
        <v>0.15823529411764706</v>
      </c>
      <c r="S79" s="15">
        <v>12.452</v>
      </c>
      <c r="T79" s="15">
        <v>0</v>
      </c>
      <c r="U79" s="15">
        <v>0</v>
      </c>
      <c r="V79" s="6">
        <v>41.068176470588227</v>
      </c>
      <c r="W79" s="6">
        <v>2.8384705882352939</v>
      </c>
      <c r="X79" s="6">
        <v>19.205058823529409</v>
      </c>
      <c r="Y79" s="6">
        <v>0.1361470588235294</v>
      </c>
      <c r="Z79" s="6">
        <v>0.6745882352941176</v>
      </c>
      <c r="AA79" s="6">
        <v>0.25514705882352939</v>
      </c>
      <c r="AB79" s="6">
        <v>0.52397058823529408</v>
      </c>
      <c r="AC79" s="6">
        <v>5.7403823529411762</v>
      </c>
      <c r="AD79" s="6">
        <v>1.8529411764705881E-2</v>
      </c>
      <c r="AE79" s="6">
        <v>0.21802941176470586</v>
      </c>
      <c r="AF79" s="6">
        <v>5.2117647058823525E-2</v>
      </c>
      <c r="AG79" s="6">
        <v>9.5676470588235293E-2</v>
      </c>
      <c r="AH79" s="6">
        <v>1.8188529411764705</v>
      </c>
      <c r="AI79" s="6">
        <v>0.45032352941176468</v>
      </c>
      <c r="AJ79" s="6">
        <v>1.8981470588235292</v>
      </c>
      <c r="AK79" s="4"/>
      <c r="AL79" s="4"/>
      <c r="AM79" s="4"/>
    </row>
    <row r="80" spans="1:39" x14ac:dyDescent="0.25">
      <c r="A80" s="7" t="s">
        <v>113</v>
      </c>
      <c r="B80" s="27" t="s">
        <v>466</v>
      </c>
      <c r="C80" s="7" t="s">
        <v>20</v>
      </c>
      <c r="D80" s="7" t="s">
        <v>29</v>
      </c>
      <c r="E80" s="7">
        <v>1</v>
      </c>
      <c r="F80" s="7" t="s">
        <v>18</v>
      </c>
      <c r="G80" s="8" t="s">
        <v>1012</v>
      </c>
      <c r="H80" s="5">
        <f t="shared" si="1"/>
        <v>50.264970588235286</v>
      </c>
      <c r="I80" s="6">
        <v>2.0499999999999997E-2</v>
      </c>
      <c r="J80" s="6">
        <v>0.17888235294117646</v>
      </c>
      <c r="K80" s="6">
        <v>0.81732352941176467</v>
      </c>
      <c r="L80" s="6">
        <v>0</v>
      </c>
      <c r="M80" s="6">
        <v>0.10261764705882351</v>
      </c>
      <c r="N80" s="6">
        <v>19.945294117647055</v>
      </c>
      <c r="O80" s="6">
        <v>3.9852941176470584E-2</v>
      </c>
      <c r="P80" s="6">
        <v>3.4294117647058822E-2</v>
      </c>
      <c r="Q80" s="6">
        <v>1.5749411764705881</v>
      </c>
      <c r="R80" s="6">
        <v>0.10117647058823528</v>
      </c>
      <c r="S80" s="15">
        <v>6.2409999999999997</v>
      </c>
      <c r="T80" s="15">
        <v>0</v>
      </c>
      <c r="U80" s="15">
        <v>0</v>
      </c>
      <c r="V80" s="6">
        <v>5.321147058823529</v>
      </c>
      <c r="W80" s="6">
        <v>0.70244117647058812</v>
      </c>
      <c r="X80" s="6">
        <v>4.0844999999999994</v>
      </c>
      <c r="Y80" s="6">
        <v>0.11749999999999999</v>
      </c>
      <c r="Z80" s="6">
        <v>6.7941176470588227E-2</v>
      </c>
      <c r="AA80" s="6">
        <v>0.1515</v>
      </c>
      <c r="AB80" s="6">
        <v>0.15579411764705883</v>
      </c>
      <c r="AC80" s="6">
        <v>5.9441470588235292</v>
      </c>
      <c r="AD80" s="6">
        <v>8.4705882352941169E-3</v>
      </c>
      <c r="AE80" s="6">
        <v>0.2531176470588235</v>
      </c>
      <c r="AF80" s="6">
        <v>4.9588235294117641E-2</v>
      </c>
      <c r="AG80" s="6">
        <v>8.7529411764705883E-2</v>
      </c>
      <c r="AH80" s="6">
        <v>2.0707058823529412</v>
      </c>
      <c r="AI80" s="6">
        <v>0.49970588235294111</v>
      </c>
      <c r="AJ80" s="6">
        <v>1.6950000000000001</v>
      </c>
      <c r="AK80" s="4"/>
      <c r="AL80" s="4"/>
      <c r="AM80" s="4"/>
    </row>
    <row r="81" spans="1:39" x14ac:dyDescent="0.25">
      <c r="A81" s="7" t="s">
        <v>114</v>
      </c>
      <c r="B81" s="27" t="s">
        <v>467</v>
      </c>
      <c r="C81" s="7" t="s">
        <v>20</v>
      </c>
      <c r="D81" s="7" t="s">
        <v>31</v>
      </c>
      <c r="E81" s="7">
        <v>1</v>
      </c>
      <c r="F81" s="7" t="s">
        <v>18</v>
      </c>
      <c r="G81" s="8" t="s">
        <v>1012</v>
      </c>
      <c r="H81" s="5">
        <f t="shared" si="1"/>
        <v>73.143676470588247</v>
      </c>
      <c r="I81" s="6">
        <v>3.4235294117647051E-2</v>
      </c>
      <c r="J81" s="6">
        <v>0.22305882352941175</v>
      </c>
      <c r="K81" s="6">
        <v>1.3927647058823529</v>
      </c>
      <c r="L81" s="6">
        <v>0</v>
      </c>
      <c r="M81" s="6">
        <v>0.10826470588235294</v>
      </c>
      <c r="N81" s="6">
        <v>23.965794117647057</v>
      </c>
      <c r="O81" s="6">
        <v>6.5852941176470586E-2</v>
      </c>
      <c r="P81" s="6">
        <v>4.8382352941176467E-2</v>
      </c>
      <c r="Q81" s="6">
        <v>2.945205882352941</v>
      </c>
      <c r="R81" s="6">
        <v>0.12208823529411764</v>
      </c>
      <c r="S81" s="15">
        <v>8.0380000000000003</v>
      </c>
      <c r="T81" s="15">
        <v>0</v>
      </c>
      <c r="U81" s="15">
        <v>0</v>
      </c>
      <c r="V81" s="6">
        <v>15.121735294117647</v>
      </c>
      <c r="W81" s="6">
        <v>1.2427058823529411</v>
      </c>
      <c r="X81" s="6">
        <v>8.4875294117647044</v>
      </c>
      <c r="Y81" s="6">
        <v>0.12532352941176469</v>
      </c>
      <c r="Z81" s="6">
        <v>0.24544117647058822</v>
      </c>
      <c r="AA81" s="6">
        <v>0.14032352941176471</v>
      </c>
      <c r="AB81" s="6">
        <v>0.22379411764705881</v>
      </c>
      <c r="AC81" s="6">
        <v>6.0336470588235285</v>
      </c>
      <c r="AD81" s="6">
        <v>6.6176470588235285E-3</v>
      </c>
      <c r="AE81" s="6">
        <v>0.22217647058823525</v>
      </c>
      <c r="AF81" s="6">
        <v>4.6441176470588229E-2</v>
      </c>
      <c r="AG81" s="6">
        <v>8.0441176470588224E-2</v>
      </c>
      <c r="AH81" s="6">
        <v>1.9092352941176471</v>
      </c>
      <c r="AI81" s="6">
        <v>0.47291176470588225</v>
      </c>
      <c r="AJ81" s="6">
        <v>1.8417058823529409</v>
      </c>
      <c r="AK81" s="4"/>
      <c r="AL81" s="4"/>
      <c r="AM81" s="4"/>
    </row>
    <row r="82" spans="1:39" x14ac:dyDescent="0.25">
      <c r="A82" s="8" t="s">
        <v>115</v>
      </c>
      <c r="B82" s="27" t="s">
        <v>468</v>
      </c>
      <c r="C82" s="8" t="s">
        <v>20</v>
      </c>
      <c r="D82" s="8" t="s">
        <v>33</v>
      </c>
      <c r="E82" s="8">
        <v>2</v>
      </c>
      <c r="F82" s="7" t="s">
        <v>18</v>
      </c>
      <c r="G82" s="8" t="s">
        <v>1012</v>
      </c>
      <c r="H82" s="5">
        <f t="shared" si="1"/>
        <v>435.56108823529416</v>
      </c>
      <c r="I82" s="6">
        <v>0.19779411764705881</v>
      </c>
      <c r="J82" s="6">
        <v>0.89438235294117652</v>
      </c>
      <c r="K82" s="6">
        <v>3.7459705882352941</v>
      </c>
      <c r="L82" s="6">
        <v>0</v>
      </c>
      <c r="M82" s="6">
        <v>0.47870588235294109</v>
      </c>
      <c r="N82" s="6">
        <v>112.12076470588234</v>
      </c>
      <c r="O82" s="6">
        <v>1.0692352941176468</v>
      </c>
      <c r="P82" s="6">
        <v>9.0525294117647039</v>
      </c>
      <c r="Q82" s="6">
        <v>9.0897941176470596</v>
      </c>
      <c r="R82" s="6">
        <v>0.57323529411764695</v>
      </c>
      <c r="S82" s="16">
        <v>31.998852941176466</v>
      </c>
      <c r="T82" s="16">
        <v>0</v>
      </c>
      <c r="U82" s="16">
        <v>0</v>
      </c>
      <c r="V82" s="6">
        <v>181.45373529411765</v>
      </c>
      <c r="W82" s="6">
        <v>8.6732058823529403</v>
      </c>
      <c r="X82" s="6">
        <v>32.711970588235296</v>
      </c>
      <c r="Y82" s="6">
        <v>0.43505882352941172</v>
      </c>
      <c r="Z82" s="6">
        <v>1.9002058823529411</v>
      </c>
      <c r="AA82" s="6">
        <v>1.4083823529411763</v>
      </c>
      <c r="AB82" s="6">
        <v>1.1356764705882352</v>
      </c>
      <c r="AC82" s="6">
        <v>21.722235294117645</v>
      </c>
      <c r="AD82" s="6">
        <v>3.491176470588235E-2</v>
      </c>
      <c r="AE82" s="6">
        <v>1.0832941176470587</v>
      </c>
      <c r="AF82" s="6">
        <v>0.18138235294117647</v>
      </c>
      <c r="AG82" s="6">
        <v>0.28947058823529409</v>
      </c>
      <c r="AH82" s="6">
        <v>7.3785294117647053</v>
      </c>
      <c r="AI82" s="6">
        <v>1.716941176470588</v>
      </c>
      <c r="AJ82" s="6">
        <v>6.2148235294117633</v>
      </c>
      <c r="AK82" s="4"/>
      <c r="AL82" s="4"/>
      <c r="AM82" s="4"/>
    </row>
    <row r="83" spans="1:39" x14ac:dyDescent="0.25">
      <c r="A83" s="8" t="s">
        <v>116</v>
      </c>
      <c r="B83" s="27" t="s">
        <v>469</v>
      </c>
      <c r="C83" s="8" t="s">
        <v>20</v>
      </c>
      <c r="D83" s="8" t="s">
        <v>35</v>
      </c>
      <c r="E83" s="8">
        <v>2</v>
      </c>
      <c r="F83" s="7" t="s">
        <v>18</v>
      </c>
      <c r="G83" s="8" t="s">
        <v>1012</v>
      </c>
      <c r="H83" s="5">
        <f t="shared" si="1"/>
        <v>230.9530882352941</v>
      </c>
      <c r="I83" s="6">
        <v>0.26849999999999996</v>
      </c>
      <c r="J83" s="6">
        <v>1.1199117647058823</v>
      </c>
      <c r="K83" s="6">
        <v>4.5623529411764698</v>
      </c>
      <c r="L83" s="6">
        <v>0</v>
      </c>
      <c r="M83" s="6">
        <v>0.48114705882352943</v>
      </c>
      <c r="N83" s="6">
        <v>87.1755294117647</v>
      </c>
      <c r="O83" s="6">
        <v>0.36861764705882349</v>
      </c>
      <c r="P83" s="6">
        <v>0.38879411764705879</v>
      </c>
      <c r="Q83" s="6">
        <v>8.7464411764705883</v>
      </c>
      <c r="R83" s="6">
        <v>0.51888235294117646</v>
      </c>
      <c r="S83" s="16">
        <v>29.262647058823525</v>
      </c>
      <c r="T83" s="16">
        <v>0</v>
      </c>
      <c r="U83" s="16">
        <v>0</v>
      </c>
      <c r="V83" s="6">
        <v>30.289294117647056</v>
      </c>
      <c r="W83" s="6">
        <v>3.5592941176470583</v>
      </c>
      <c r="X83" s="6">
        <v>19.848735294117645</v>
      </c>
      <c r="Y83" s="6">
        <v>0.52973529411764697</v>
      </c>
      <c r="Z83" s="6">
        <v>0.49608823529411755</v>
      </c>
      <c r="AA83" s="6">
        <v>0.50288235294117645</v>
      </c>
      <c r="AB83" s="6">
        <v>0.4928235294117646</v>
      </c>
      <c r="AC83" s="6">
        <v>24.420323529411764</v>
      </c>
      <c r="AD83" s="6">
        <v>3.6588235294117644E-2</v>
      </c>
      <c r="AE83" s="6">
        <v>0.84235294117647053</v>
      </c>
      <c r="AF83" s="6">
        <v>0.17005882352941176</v>
      </c>
      <c r="AG83" s="6">
        <v>0.28047058823529408</v>
      </c>
      <c r="AH83" s="6">
        <v>8.557676470588234</v>
      </c>
      <c r="AI83" s="6">
        <v>1.8123823529411764</v>
      </c>
      <c r="AJ83" s="6">
        <v>6.2215588235294117</v>
      </c>
      <c r="AK83" s="4"/>
      <c r="AL83" s="4"/>
      <c r="AM83" s="4"/>
    </row>
    <row r="84" spans="1:39" x14ac:dyDescent="0.25">
      <c r="A84" s="7" t="s">
        <v>117</v>
      </c>
      <c r="B84" s="27" t="s">
        <v>470</v>
      </c>
      <c r="C84" s="7" t="s">
        <v>20</v>
      </c>
      <c r="D84" s="7" t="s">
        <v>37</v>
      </c>
      <c r="E84" s="7">
        <v>2</v>
      </c>
      <c r="F84" s="7" t="s">
        <v>18</v>
      </c>
      <c r="G84" s="8" t="s">
        <v>1012</v>
      </c>
      <c r="H84" s="5">
        <f t="shared" si="1"/>
        <v>172.52335294117648</v>
      </c>
      <c r="I84" s="6">
        <v>2.5117647058823529E-2</v>
      </c>
      <c r="J84" s="6">
        <v>0.1676470588235294</v>
      </c>
      <c r="K84" s="6">
        <v>0.68158823529411761</v>
      </c>
      <c r="L84" s="6">
        <v>0</v>
      </c>
      <c r="M84" s="6">
        <v>6.9000000000000006E-2</v>
      </c>
      <c r="N84" s="6">
        <v>29.41035294117647</v>
      </c>
      <c r="O84" s="6">
        <v>1.7565588235294118</v>
      </c>
      <c r="P84" s="6">
        <v>5.8406176470588234</v>
      </c>
      <c r="Q84" s="6">
        <v>2.416911764705882</v>
      </c>
      <c r="R84" s="6">
        <v>0.1221470588235294</v>
      </c>
      <c r="S84" s="15">
        <v>7.7009999999999996</v>
      </c>
      <c r="T84" s="15">
        <v>0</v>
      </c>
      <c r="U84" s="15">
        <v>0</v>
      </c>
      <c r="V84" s="6">
        <v>101.52867647058824</v>
      </c>
      <c r="W84" s="6">
        <v>3.6736176470588235</v>
      </c>
      <c r="X84" s="6">
        <v>11.84526470588235</v>
      </c>
      <c r="Y84" s="6">
        <v>5.6617647058823523E-2</v>
      </c>
      <c r="Z84" s="6">
        <v>0.93191176470588233</v>
      </c>
      <c r="AA84" s="6">
        <v>0.58544117647058824</v>
      </c>
      <c r="AB84" s="6">
        <v>0.42802941176470582</v>
      </c>
      <c r="AC84" s="6">
        <v>2.9103529411764701</v>
      </c>
      <c r="AD84" s="6">
        <v>3.6470588235294117E-3</v>
      </c>
      <c r="AE84" s="6">
        <v>0.25738235294117645</v>
      </c>
      <c r="AF84" s="6">
        <v>2.7764705882352941E-2</v>
      </c>
      <c r="AG84" s="6">
        <v>4.7823529411764702E-2</v>
      </c>
      <c r="AH84" s="6">
        <v>0.87926470588235284</v>
      </c>
      <c r="AI84" s="6">
        <v>0.2091764705882353</v>
      </c>
      <c r="AJ84" s="6">
        <v>0.94744117647058823</v>
      </c>
      <c r="AK84" s="4"/>
      <c r="AL84" s="4"/>
      <c r="AM84" s="4"/>
    </row>
    <row r="85" spans="1:39" x14ac:dyDescent="0.25">
      <c r="A85" s="7" t="s">
        <v>118</v>
      </c>
      <c r="B85" s="27" t="s">
        <v>471</v>
      </c>
      <c r="C85" s="7" t="s">
        <v>20</v>
      </c>
      <c r="D85" s="7" t="s">
        <v>39</v>
      </c>
      <c r="E85" s="7">
        <v>2</v>
      </c>
      <c r="F85" s="7" t="s">
        <v>18</v>
      </c>
      <c r="G85" s="8" t="s">
        <v>1012</v>
      </c>
      <c r="H85" s="5">
        <f t="shared" si="1"/>
        <v>64.112235294117639</v>
      </c>
      <c r="I85" s="6">
        <v>3.8647058823529409E-2</v>
      </c>
      <c r="J85" s="6">
        <v>0.23167647058823529</v>
      </c>
      <c r="K85" s="6">
        <v>1.0663529411764705</v>
      </c>
      <c r="L85" s="6">
        <v>0</v>
      </c>
      <c r="M85" s="6">
        <v>0.11782352941176469</v>
      </c>
      <c r="N85" s="6">
        <v>24.399264705882352</v>
      </c>
      <c r="O85" s="6">
        <v>2.2705882352941176E-2</v>
      </c>
      <c r="P85" s="6">
        <v>3.0705882352941173E-2</v>
      </c>
      <c r="Q85" s="6">
        <v>1.990470588235294</v>
      </c>
      <c r="R85" s="6">
        <v>0.12211764705882353</v>
      </c>
      <c r="S85" s="15">
        <v>7.9329999999999998</v>
      </c>
      <c r="T85" s="15">
        <v>0</v>
      </c>
      <c r="U85" s="15">
        <v>0</v>
      </c>
      <c r="V85" s="6">
        <v>8.1360588235294102</v>
      </c>
      <c r="W85" s="6">
        <v>0.8738529411764705</v>
      </c>
      <c r="X85" s="6">
        <v>5.9972941176470576</v>
      </c>
      <c r="Y85" s="6">
        <v>0.12908823529411764</v>
      </c>
      <c r="Z85" s="6">
        <v>0.12897058823529411</v>
      </c>
      <c r="AA85" s="6">
        <v>0.18332352941176469</v>
      </c>
      <c r="AB85" s="6">
        <v>0.19349999999999998</v>
      </c>
      <c r="AC85" s="6">
        <v>7.0799999999999992</v>
      </c>
      <c r="AD85" s="6">
        <v>1.1970588235294117E-2</v>
      </c>
      <c r="AE85" s="6">
        <v>0.29744117647058821</v>
      </c>
      <c r="AF85" s="6">
        <v>6.4647058823529405E-2</v>
      </c>
      <c r="AG85" s="6">
        <v>9.1411764705882345E-2</v>
      </c>
      <c r="AH85" s="6">
        <v>2.2524117647058821</v>
      </c>
      <c r="AI85" s="6">
        <v>0.55938235294117644</v>
      </c>
      <c r="AJ85" s="6">
        <v>2.1601176470588235</v>
      </c>
      <c r="AK85" s="4"/>
      <c r="AL85" s="4"/>
      <c r="AM85" s="4"/>
    </row>
    <row r="86" spans="1:39" x14ac:dyDescent="0.25">
      <c r="A86" s="7" t="s">
        <v>119</v>
      </c>
      <c r="B86" s="27" t="s">
        <v>472</v>
      </c>
      <c r="C86" s="7" t="s">
        <v>20</v>
      </c>
      <c r="D86" s="7" t="s">
        <v>41</v>
      </c>
      <c r="E86" s="7">
        <v>2</v>
      </c>
      <c r="F86" s="7" t="s">
        <v>18</v>
      </c>
      <c r="G86" s="8" t="s">
        <v>1012</v>
      </c>
      <c r="H86" s="5">
        <f t="shared" si="1"/>
        <v>66.436823529411754</v>
      </c>
      <c r="I86" s="6">
        <v>2.6470588235294114E-2</v>
      </c>
      <c r="J86" s="6">
        <v>0.20223529411764704</v>
      </c>
      <c r="K86" s="6">
        <v>0.89732352941176452</v>
      </c>
      <c r="L86" s="6">
        <v>0</v>
      </c>
      <c r="M86" s="6">
        <v>0.10455882352941175</v>
      </c>
      <c r="N86" s="6">
        <v>21.481264705882353</v>
      </c>
      <c r="O86" s="6">
        <v>0.11391176470588235</v>
      </c>
      <c r="P86" s="6">
        <v>0.47332352941176498</v>
      </c>
      <c r="Q86" s="6">
        <v>1.9572941176470586</v>
      </c>
      <c r="R86" s="6">
        <v>0.10797058823529411</v>
      </c>
      <c r="S86" s="15">
        <v>6.8849999999999998</v>
      </c>
      <c r="T86" s="15">
        <v>0</v>
      </c>
      <c r="U86" s="15">
        <v>0</v>
      </c>
      <c r="V86" s="6">
        <v>16.35255882352941</v>
      </c>
      <c r="W86" s="6">
        <v>1.1254117647058821</v>
      </c>
      <c r="X86" s="6">
        <v>5.1082352941176463</v>
      </c>
      <c r="Y86" s="6">
        <v>0.105</v>
      </c>
      <c r="Z86" s="6">
        <v>0.15385294117647058</v>
      </c>
      <c r="AA86" s="6">
        <v>0.18447058823529411</v>
      </c>
      <c r="AB86" s="6">
        <v>0.18564705882352939</v>
      </c>
      <c r="AC86" s="6">
        <v>6.013323529411764</v>
      </c>
      <c r="AD86" s="6">
        <v>1.214705882352941E-2</v>
      </c>
      <c r="AE86" s="6">
        <v>0.25047058823529411</v>
      </c>
      <c r="AF86" s="6">
        <v>5.1176470588235289E-2</v>
      </c>
      <c r="AG86" s="6">
        <v>9.1882352941176471E-2</v>
      </c>
      <c r="AH86" s="6">
        <v>2.1069117647058824</v>
      </c>
      <c r="AI86" s="6">
        <v>0.5177647058823529</v>
      </c>
      <c r="AJ86" s="6">
        <v>1.9286176470588234</v>
      </c>
      <c r="AK86" s="4"/>
      <c r="AL86" s="4"/>
      <c r="AM86" s="4"/>
    </row>
    <row r="87" spans="1:39" x14ac:dyDescent="0.25">
      <c r="A87" s="8" t="s">
        <v>120</v>
      </c>
      <c r="B87" s="27" t="s">
        <v>473</v>
      </c>
      <c r="C87" s="8" t="s">
        <v>20</v>
      </c>
      <c r="D87" s="8" t="s">
        <v>43</v>
      </c>
      <c r="E87" s="8">
        <v>6</v>
      </c>
      <c r="F87" s="7" t="s">
        <v>18</v>
      </c>
      <c r="G87" s="8" t="s">
        <v>1012</v>
      </c>
      <c r="H87" s="5">
        <f t="shared" si="1"/>
        <v>213.12011764705878</v>
      </c>
      <c r="I87" s="6">
        <v>0.24985294117647056</v>
      </c>
      <c r="J87" s="6">
        <v>1.1064999999999998</v>
      </c>
      <c r="K87" s="6">
        <v>4.1651470588235293</v>
      </c>
      <c r="L87" s="6">
        <v>0</v>
      </c>
      <c r="M87" s="6">
        <v>0.49091176470588233</v>
      </c>
      <c r="N87" s="6">
        <v>85.29044117647058</v>
      </c>
      <c r="O87" s="6">
        <v>0.33311764705882352</v>
      </c>
      <c r="P87" s="6">
        <v>0.55294117647058816</v>
      </c>
      <c r="Q87" s="6">
        <v>5.9001764705882351</v>
      </c>
      <c r="R87" s="6">
        <v>0.45888235294117641</v>
      </c>
      <c r="S87" s="16">
        <v>25.984441176470586</v>
      </c>
      <c r="T87" s="16">
        <v>0</v>
      </c>
      <c r="U87" s="16">
        <v>2.35E-2</v>
      </c>
      <c r="V87" s="6">
        <v>26.749647058823527</v>
      </c>
      <c r="W87" s="6">
        <v>2.7741764705882348</v>
      </c>
      <c r="X87" s="6">
        <v>20.987852941176467</v>
      </c>
      <c r="Y87" s="6">
        <v>0.41229411764705881</v>
      </c>
      <c r="Z87" s="6">
        <v>0.56455882352941178</v>
      </c>
      <c r="AA87" s="6">
        <v>0.57597058823529412</v>
      </c>
      <c r="AB87" s="6">
        <v>0.71388235294117641</v>
      </c>
      <c r="AC87" s="6">
        <v>20.499941176470585</v>
      </c>
      <c r="AD87" s="6">
        <v>3.5970588235294115E-2</v>
      </c>
      <c r="AE87" s="6">
        <v>0.85620588235294104</v>
      </c>
      <c r="AF87" s="6">
        <v>0.17776470588235294</v>
      </c>
      <c r="AG87" s="6">
        <v>0.2704117647058823</v>
      </c>
      <c r="AH87" s="6">
        <v>6.3097058823529411</v>
      </c>
      <c r="AI87" s="6">
        <v>1.6511764705882352</v>
      </c>
      <c r="AJ87" s="6">
        <v>5.984647058823529</v>
      </c>
      <c r="AK87" s="4"/>
      <c r="AL87" s="4"/>
      <c r="AM87" s="4"/>
    </row>
    <row r="88" spans="1:39" x14ac:dyDescent="0.25">
      <c r="A88" s="7" t="s">
        <v>121</v>
      </c>
      <c r="B88" s="27" t="s">
        <v>474</v>
      </c>
      <c r="C88" s="7" t="s">
        <v>20</v>
      </c>
      <c r="D88" s="7" t="s">
        <v>45</v>
      </c>
      <c r="E88" s="7">
        <v>6</v>
      </c>
      <c r="F88" s="7" t="s">
        <v>18</v>
      </c>
      <c r="G88" s="8" t="s">
        <v>1012</v>
      </c>
      <c r="H88" s="5">
        <f t="shared" si="1"/>
        <v>79.245382352941192</v>
      </c>
      <c r="I88" s="6">
        <v>3.8470588235294111E-2</v>
      </c>
      <c r="J88" s="6">
        <v>0.23902941176470585</v>
      </c>
      <c r="K88" s="6">
        <v>1.4980294117647057</v>
      </c>
      <c r="L88" s="6">
        <v>0</v>
      </c>
      <c r="M88" s="6">
        <v>0.11358823529411764</v>
      </c>
      <c r="N88" s="6">
        <v>26.520852941176468</v>
      </c>
      <c r="O88" s="6">
        <v>0.11567647058823527</v>
      </c>
      <c r="P88" s="6">
        <v>0.15099999999999997</v>
      </c>
      <c r="Q88" s="6">
        <v>3.0247941176470583</v>
      </c>
      <c r="R88" s="6">
        <v>0.12376470588235293</v>
      </c>
      <c r="S88" s="15">
        <v>8.8379999999999992</v>
      </c>
      <c r="T88" s="15">
        <v>0</v>
      </c>
      <c r="U88" s="15">
        <v>0</v>
      </c>
      <c r="V88" s="6">
        <v>16.993500000000001</v>
      </c>
      <c r="W88" s="6">
        <v>1.272205882352941</v>
      </c>
      <c r="X88" s="6">
        <v>7.786029411764706</v>
      </c>
      <c r="Y88" s="6">
        <v>0.1183235294117647</v>
      </c>
      <c r="Z88" s="6">
        <v>0.23491176470588232</v>
      </c>
      <c r="AA88" s="6">
        <v>0.16411764705882353</v>
      </c>
      <c r="AB88" s="6">
        <v>0.24876470588235292</v>
      </c>
      <c r="AC88" s="6">
        <v>6.6454705882352929</v>
      </c>
      <c r="AD88" s="6">
        <v>1.0588235294117647E-2</v>
      </c>
      <c r="AE88" s="6">
        <v>0.25997058823529406</v>
      </c>
      <c r="AF88" s="6">
        <v>4.8352941176470585E-2</v>
      </c>
      <c r="AG88" s="6">
        <v>9.5029411764705876E-2</v>
      </c>
      <c r="AH88" s="6">
        <v>2.1446764705882351</v>
      </c>
      <c r="AI88" s="6">
        <v>0.52385294117647052</v>
      </c>
      <c r="AJ88" s="6">
        <v>2.0363823529411764</v>
      </c>
      <c r="AK88" s="4"/>
      <c r="AL88" s="4"/>
      <c r="AM88" s="4"/>
    </row>
    <row r="89" spans="1:39" x14ac:dyDescent="0.25">
      <c r="A89" s="7" t="s">
        <v>122</v>
      </c>
      <c r="B89" s="27" t="s">
        <v>475</v>
      </c>
      <c r="C89" s="7" t="s">
        <v>20</v>
      </c>
      <c r="D89" s="7" t="s">
        <v>47</v>
      </c>
      <c r="E89" s="7">
        <v>6</v>
      </c>
      <c r="F89" s="7" t="s">
        <v>18</v>
      </c>
      <c r="G89" s="8" t="s">
        <v>1012</v>
      </c>
      <c r="H89" s="5">
        <f t="shared" si="1"/>
        <v>51.466941176470577</v>
      </c>
      <c r="I89" s="6">
        <v>2.5000000000000001E-2</v>
      </c>
      <c r="J89" s="6">
        <v>0.20158823529411765</v>
      </c>
      <c r="K89" s="6">
        <v>0.83682352941176463</v>
      </c>
      <c r="L89" s="6">
        <v>0</v>
      </c>
      <c r="M89" s="6">
        <v>0.10147058823529412</v>
      </c>
      <c r="N89" s="6">
        <v>19.475294117647056</v>
      </c>
      <c r="O89" s="6">
        <v>7.1411764705882341E-2</v>
      </c>
      <c r="P89" s="6">
        <v>8.6470588235294105E-2</v>
      </c>
      <c r="Q89" s="6">
        <v>1.487235294117647</v>
      </c>
      <c r="R89" s="6">
        <v>0.10235294117647058</v>
      </c>
      <c r="S89" s="15">
        <v>6.7249999999999996</v>
      </c>
      <c r="T89" s="15">
        <v>0</v>
      </c>
      <c r="U89" s="15">
        <v>0</v>
      </c>
      <c r="V89" s="6">
        <v>5.8688235294117641</v>
      </c>
      <c r="W89" s="6">
        <v>0.70688235294117641</v>
      </c>
      <c r="X89" s="6">
        <v>3.8375294117647054</v>
      </c>
      <c r="Y89" s="6">
        <v>0.10202941176470587</v>
      </c>
      <c r="Z89" s="6">
        <v>5.7382352941176468E-2</v>
      </c>
      <c r="AA89" s="6">
        <v>0.13549999999999998</v>
      </c>
      <c r="AB89" s="6">
        <v>0.15647058823529408</v>
      </c>
      <c r="AC89" s="6">
        <v>6.3651470588235286</v>
      </c>
      <c r="AD89" s="6">
        <v>9.7058823529411753E-3</v>
      </c>
      <c r="AE89" s="6">
        <v>0.24123529411764702</v>
      </c>
      <c r="AF89" s="6">
        <v>4.4970588235294116E-2</v>
      </c>
      <c r="AG89" s="6">
        <v>9.9617647058823519E-2</v>
      </c>
      <c r="AH89" s="6">
        <v>2.2303235294117645</v>
      </c>
      <c r="AI89" s="6">
        <v>0.55002941176470588</v>
      </c>
      <c r="AJ89" s="6">
        <v>1.9486470588235294</v>
      </c>
      <c r="AK89" s="4"/>
      <c r="AL89" s="4"/>
      <c r="AM89" s="4"/>
    </row>
    <row r="90" spans="1:39" x14ac:dyDescent="0.25">
      <c r="A90" s="7" t="s">
        <v>123</v>
      </c>
      <c r="B90" s="27" t="s">
        <v>476</v>
      </c>
      <c r="C90" s="7" t="s">
        <v>20</v>
      </c>
      <c r="D90" s="7" t="s">
        <v>49</v>
      </c>
      <c r="E90" s="7">
        <v>6</v>
      </c>
      <c r="F90" s="7" t="s">
        <v>18</v>
      </c>
      <c r="G90" s="8" t="s">
        <v>1012</v>
      </c>
      <c r="H90" s="5">
        <f t="shared" si="1"/>
        <v>60.726323529411758</v>
      </c>
      <c r="I90" s="6">
        <v>3.3294117647058821E-2</v>
      </c>
      <c r="J90" s="6">
        <v>0.21776470588235292</v>
      </c>
      <c r="K90" s="6">
        <v>1.04</v>
      </c>
      <c r="L90" s="6">
        <v>0</v>
      </c>
      <c r="M90" s="6">
        <v>0.12879411764705881</v>
      </c>
      <c r="N90" s="6">
        <v>22.878029411764704</v>
      </c>
      <c r="O90" s="6">
        <v>0.13094117647058823</v>
      </c>
      <c r="P90" s="6">
        <v>0.14955882352941174</v>
      </c>
      <c r="Q90" s="6">
        <v>1.7472058823529408</v>
      </c>
      <c r="R90" s="6">
        <v>0.1232941176470588</v>
      </c>
      <c r="S90" s="15">
        <v>7.7140000000000004</v>
      </c>
      <c r="T90" s="15">
        <v>0</v>
      </c>
      <c r="U90" s="15">
        <v>0</v>
      </c>
      <c r="V90" s="6">
        <v>7.366088235294117</v>
      </c>
      <c r="W90" s="6">
        <v>0.82720588235294112</v>
      </c>
      <c r="X90" s="6">
        <v>4.6689999999999996</v>
      </c>
      <c r="Y90" s="6">
        <v>0.12770588235294117</v>
      </c>
      <c r="Z90" s="6">
        <v>7.2499999999999995E-2</v>
      </c>
      <c r="AA90" s="6">
        <v>0.16652941176470587</v>
      </c>
      <c r="AB90" s="6">
        <v>0.17926470588235291</v>
      </c>
      <c r="AC90" s="6">
        <v>7.3209117647058823</v>
      </c>
      <c r="AD90" s="6">
        <v>8.5882352941176465E-3</v>
      </c>
      <c r="AE90" s="6">
        <v>0.29470588235294115</v>
      </c>
      <c r="AF90" s="6">
        <v>5.0794117647058823E-2</v>
      </c>
      <c r="AG90" s="6">
        <v>0.10144117647058823</v>
      </c>
      <c r="AH90" s="6">
        <v>2.5050588235294118</v>
      </c>
      <c r="AI90" s="6">
        <v>0.60270588235294109</v>
      </c>
      <c r="AJ90" s="6">
        <v>2.270941176470588</v>
      </c>
      <c r="AK90" s="4"/>
      <c r="AL90" s="4"/>
      <c r="AM90" s="4"/>
    </row>
    <row r="91" spans="1:39" x14ac:dyDescent="0.25">
      <c r="A91" s="7" t="s">
        <v>124</v>
      </c>
      <c r="B91" s="27" t="s">
        <v>477</v>
      </c>
      <c r="C91" s="7" t="s">
        <v>20</v>
      </c>
      <c r="D91" s="7" t="s">
        <v>21</v>
      </c>
      <c r="E91" s="7">
        <v>0</v>
      </c>
      <c r="F91" s="7" t="s">
        <v>125</v>
      </c>
      <c r="G91" s="8" t="s">
        <v>995</v>
      </c>
      <c r="H91" s="5">
        <f t="shared" si="1"/>
        <v>52.501088235294098</v>
      </c>
      <c r="I91" s="6">
        <v>0.18876470588235292</v>
      </c>
      <c r="J91" s="6">
        <v>0.11673529411764706</v>
      </c>
      <c r="K91" s="6">
        <v>0.38902941176470585</v>
      </c>
      <c r="L91" s="6">
        <v>0</v>
      </c>
      <c r="M91" s="6">
        <v>9.0441176470588233E-2</v>
      </c>
      <c r="N91" s="6">
        <v>11.97585294117647</v>
      </c>
      <c r="O91" s="6">
        <v>0</v>
      </c>
      <c r="P91" s="6">
        <v>0</v>
      </c>
      <c r="Q91" s="6">
        <v>1.0916764705882351</v>
      </c>
      <c r="R91" s="6">
        <v>0.14635294117647057</v>
      </c>
      <c r="S91" s="15">
        <v>5.91</v>
      </c>
      <c r="T91" s="15">
        <v>0</v>
      </c>
      <c r="U91" s="15">
        <v>0</v>
      </c>
      <c r="V91" s="9">
        <v>5.7103823529411759</v>
      </c>
      <c r="W91" s="9">
        <v>0.66052941176470581</v>
      </c>
      <c r="X91" s="9">
        <v>12.308676470588233</v>
      </c>
      <c r="Y91" s="9">
        <v>0.22508823529411764</v>
      </c>
      <c r="Z91" s="9">
        <v>0.22761764705882351</v>
      </c>
      <c r="AA91" s="9">
        <v>4.4470588235294116E-2</v>
      </c>
      <c r="AB91" s="9">
        <v>7.2676470588235287E-2</v>
      </c>
      <c r="AC91" s="9">
        <v>10.248617647058822</v>
      </c>
      <c r="AD91" s="9">
        <v>1.7205882352941175E-2</v>
      </c>
      <c r="AE91" s="9">
        <v>8.9470588235294107E-2</v>
      </c>
      <c r="AF91" s="9">
        <v>0.18794117647058822</v>
      </c>
      <c r="AG91" s="9">
        <v>2.0470588235294115E-2</v>
      </c>
      <c r="AH91" s="9">
        <v>0.11108823529411763</v>
      </c>
      <c r="AI91" s="9">
        <v>0.2536176470588235</v>
      </c>
      <c r="AJ91" s="9">
        <v>2.4143823529411761</v>
      </c>
      <c r="AK91" s="4"/>
      <c r="AL91" s="4"/>
      <c r="AM91" s="4"/>
    </row>
    <row r="92" spans="1:39" x14ac:dyDescent="0.25">
      <c r="A92" s="8" t="s">
        <v>126</v>
      </c>
      <c r="B92" s="27" t="s">
        <v>478</v>
      </c>
      <c r="C92" s="8" t="s">
        <v>20</v>
      </c>
      <c r="D92" s="8" t="s">
        <v>23</v>
      </c>
      <c r="E92" s="8">
        <v>1</v>
      </c>
      <c r="F92" s="8" t="s">
        <v>125</v>
      </c>
      <c r="G92" s="8" t="s">
        <v>995</v>
      </c>
      <c r="H92" s="5">
        <f t="shared" si="1"/>
        <v>52.942470588235288</v>
      </c>
      <c r="I92" s="6">
        <v>1.0235294117647058E-2</v>
      </c>
      <c r="J92" s="6">
        <v>2.8029411764705883E-2</v>
      </c>
      <c r="K92" s="6">
        <v>0.21691176470588233</v>
      </c>
      <c r="L92" s="6">
        <v>0</v>
      </c>
      <c r="M92" s="6">
        <v>6.2294117647058819E-2</v>
      </c>
      <c r="N92" s="6">
        <v>11.471029411764706</v>
      </c>
      <c r="O92" s="6">
        <v>0.37688235294117645</v>
      </c>
      <c r="P92" s="6">
        <v>0.32849999999999996</v>
      </c>
      <c r="Q92" s="6">
        <v>1.4355</v>
      </c>
      <c r="R92" s="6">
        <v>0.10111764705882352</v>
      </c>
      <c r="S92" s="16">
        <v>3.5425</v>
      </c>
      <c r="T92" s="16">
        <v>0</v>
      </c>
      <c r="U92" s="16">
        <v>0</v>
      </c>
      <c r="V92" s="6">
        <v>14.720558823529412</v>
      </c>
      <c r="W92" s="6">
        <v>1.0250294117647059</v>
      </c>
      <c r="X92" s="6">
        <v>12.119588235294117</v>
      </c>
      <c r="Y92" s="6">
        <v>0.16991176470588235</v>
      </c>
      <c r="Z92" s="6">
        <v>0.51558823529411768</v>
      </c>
      <c r="AA92" s="6">
        <v>8.8323529411764704E-2</v>
      </c>
      <c r="AB92" s="6">
        <v>0.16235294117647056</v>
      </c>
      <c r="AC92" s="6">
        <v>4.5869705882352934</v>
      </c>
      <c r="AD92" s="6">
        <v>3.0029411764705881E-2</v>
      </c>
      <c r="AE92" s="6">
        <v>7.5823529411764706E-2</v>
      </c>
      <c r="AF92" s="6">
        <v>0.16035294117647056</v>
      </c>
      <c r="AG92" s="6">
        <v>1.3264705882352941E-2</v>
      </c>
      <c r="AH92" s="6">
        <v>0.12852941176470589</v>
      </c>
      <c r="AI92" s="6">
        <v>0.10485294117647058</v>
      </c>
      <c r="AJ92" s="6">
        <v>1.4682941176470587</v>
      </c>
      <c r="AK92" s="4"/>
      <c r="AL92" s="4"/>
      <c r="AM92" s="4"/>
    </row>
    <row r="93" spans="1:39" x14ac:dyDescent="0.25">
      <c r="A93" s="8" t="s">
        <v>127</v>
      </c>
      <c r="B93" s="27" t="s">
        <v>479</v>
      </c>
      <c r="C93" s="8" t="s">
        <v>20</v>
      </c>
      <c r="D93" s="8" t="s">
        <v>25</v>
      </c>
      <c r="E93" s="8">
        <v>1</v>
      </c>
      <c r="F93" s="8" t="s">
        <v>125</v>
      </c>
      <c r="G93" s="8" t="s">
        <v>995</v>
      </c>
      <c r="H93" s="5">
        <f t="shared" si="1"/>
        <v>106.5810882352941</v>
      </c>
      <c r="I93" s="6">
        <v>1.7735294117647057E-2</v>
      </c>
      <c r="J93" s="6">
        <v>4.7E-2</v>
      </c>
      <c r="K93" s="6">
        <v>0.43314705882352939</v>
      </c>
      <c r="L93" s="6">
        <v>0</v>
      </c>
      <c r="M93" s="6">
        <v>0.11494117647058821</v>
      </c>
      <c r="N93" s="6">
        <v>20.829470588235292</v>
      </c>
      <c r="O93" s="6">
        <v>1.0150588235294116</v>
      </c>
      <c r="P93" s="6">
        <v>0.99649999999999994</v>
      </c>
      <c r="Q93" s="6">
        <v>3.0019117647058824</v>
      </c>
      <c r="R93" s="6">
        <v>0.2009705882352941</v>
      </c>
      <c r="S93" s="16">
        <v>6.615823529411764</v>
      </c>
      <c r="T93" s="16">
        <v>0</v>
      </c>
      <c r="U93" s="16">
        <v>0</v>
      </c>
      <c r="V93" s="6">
        <v>31.84991176470588</v>
      </c>
      <c r="W93" s="6">
        <v>2.2975882352941173</v>
      </c>
      <c r="X93" s="6">
        <v>23.804058823529409</v>
      </c>
      <c r="Y93" s="6">
        <v>0.32188235294117645</v>
      </c>
      <c r="Z93" s="6">
        <v>1.0147058823529411</v>
      </c>
      <c r="AA93" s="6">
        <v>0.15535294117647058</v>
      </c>
      <c r="AB93" s="6">
        <v>0.2838235294117647</v>
      </c>
      <c r="AC93" s="6">
        <v>9.6575294117647044</v>
      </c>
      <c r="AD93" s="6">
        <v>5.4441176470588229E-2</v>
      </c>
      <c r="AE93" s="6">
        <v>0.13802941176470587</v>
      </c>
      <c r="AF93" s="6">
        <v>0.31597058823529406</v>
      </c>
      <c r="AG93" s="6">
        <v>2.0323529411764706E-2</v>
      </c>
      <c r="AH93" s="6">
        <v>0.26470588235294112</v>
      </c>
      <c r="AI93" s="6">
        <v>0.19514705882352942</v>
      </c>
      <c r="AJ93" s="6">
        <v>2.9350588235294115</v>
      </c>
      <c r="AK93" s="4"/>
      <c r="AL93" s="4"/>
      <c r="AM93" s="4"/>
    </row>
    <row r="94" spans="1:39" x14ac:dyDescent="0.25">
      <c r="A94" s="7" t="s">
        <v>128</v>
      </c>
      <c r="B94" s="27" t="s">
        <v>480</v>
      </c>
      <c r="C94" s="7" t="s">
        <v>20</v>
      </c>
      <c r="D94" s="7" t="s">
        <v>27</v>
      </c>
      <c r="E94" s="7">
        <v>1</v>
      </c>
      <c r="F94" s="7" t="s">
        <v>125</v>
      </c>
      <c r="G94" s="8" t="s">
        <v>995</v>
      </c>
      <c r="H94" s="5">
        <f t="shared" si="1"/>
        <v>136.26470588235296</v>
      </c>
      <c r="I94" s="6">
        <v>0.23152941176470587</v>
      </c>
      <c r="J94" s="6">
        <v>0.18426470588235291</v>
      </c>
      <c r="K94" s="6">
        <v>0.68226470588235288</v>
      </c>
      <c r="L94" s="6">
        <v>0</v>
      </c>
      <c r="M94" s="6">
        <v>0.14585294117647057</v>
      </c>
      <c r="N94" s="6">
        <v>26.676705882352941</v>
      </c>
      <c r="O94" s="6">
        <v>1.0895294117647059</v>
      </c>
      <c r="P94" s="6">
        <v>1.2698823529411762</v>
      </c>
      <c r="Q94" s="6">
        <v>2.9643823529411759</v>
      </c>
      <c r="R94" s="6">
        <v>0.27858823529411764</v>
      </c>
      <c r="S94" s="15">
        <v>10.221</v>
      </c>
      <c r="T94" s="15">
        <v>0</v>
      </c>
      <c r="U94" s="15">
        <v>0</v>
      </c>
      <c r="V94" s="9">
        <v>38.881764705882347</v>
      </c>
      <c r="W94" s="9">
        <v>2.664441176470588</v>
      </c>
      <c r="X94" s="9">
        <v>30.403411764705883</v>
      </c>
      <c r="Y94" s="9">
        <v>0.33823529411764702</v>
      </c>
      <c r="Z94" s="9">
        <v>0.96773529411764692</v>
      </c>
      <c r="AA94" s="9">
        <v>0.15552941176470589</v>
      </c>
      <c r="AB94" s="9">
        <v>0.23358823529411765</v>
      </c>
      <c r="AC94" s="9">
        <v>13.785529411764704</v>
      </c>
      <c r="AD94" s="9">
        <v>4.5647058823529409E-2</v>
      </c>
      <c r="AE94" s="9">
        <v>0.14117647058823529</v>
      </c>
      <c r="AF94" s="9">
        <v>0.35964705882352938</v>
      </c>
      <c r="AG94" s="9">
        <v>3.1882352941176473E-2</v>
      </c>
      <c r="AH94" s="9">
        <v>0.2391764705882353</v>
      </c>
      <c r="AI94" s="9">
        <v>0.33520588235294113</v>
      </c>
      <c r="AJ94" s="9">
        <v>3.9377352941176467</v>
      </c>
      <c r="AK94" s="4"/>
      <c r="AL94" s="4"/>
      <c r="AM94" s="4"/>
    </row>
    <row r="95" spans="1:39" x14ac:dyDescent="0.25">
      <c r="A95" s="7" t="s">
        <v>129</v>
      </c>
      <c r="B95" s="27" t="s">
        <v>481</v>
      </c>
      <c r="C95" s="7" t="s">
        <v>20</v>
      </c>
      <c r="D95" s="7" t="s">
        <v>29</v>
      </c>
      <c r="E95" s="7">
        <v>1</v>
      </c>
      <c r="F95" s="7" t="s">
        <v>125</v>
      </c>
      <c r="G95" s="8" t="s">
        <v>995</v>
      </c>
      <c r="H95" s="5">
        <f t="shared" si="1"/>
        <v>118.62094117647058</v>
      </c>
      <c r="I95" s="6">
        <v>0.20814705882352941</v>
      </c>
      <c r="J95" s="6">
        <v>0.15338235294117647</v>
      </c>
      <c r="K95" s="6">
        <v>0.50879411764705884</v>
      </c>
      <c r="L95" s="6">
        <v>0</v>
      </c>
      <c r="M95" s="6">
        <v>0.15388235294117644</v>
      </c>
      <c r="N95" s="6">
        <v>24.849794117647058</v>
      </c>
      <c r="O95" s="6">
        <v>0.93788235294117639</v>
      </c>
      <c r="P95" s="6">
        <v>1.080970588235294</v>
      </c>
      <c r="Q95" s="6">
        <v>2.1904117647058818</v>
      </c>
      <c r="R95" s="6">
        <v>0.24967647058823525</v>
      </c>
      <c r="S95" s="15">
        <v>8.7100000000000009</v>
      </c>
      <c r="T95" s="15">
        <v>0</v>
      </c>
      <c r="U95" s="15">
        <v>0</v>
      </c>
      <c r="V95" s="9">
        <v>33.775323529411764</v>
      </c>
      <c r="W95" s="9">
        <v>2.0949411764705883</v>
      </c>
      <c r="X95" s="9">
        <v>27.710441176470585</v>
      </c>
      <c r="Y95" s="9">
        <v>0.36449999999999999</v>
      </c>
      <c r="Z95" s="9">
        <v>0.97658823529411753</v>
      </c>
      <c r="AA95" s="9">
        <v>0.1954411764705882</v>
      </c>
      <c r="AB95" s="9">
        <v>0.29123529411764704</v>
      </c>
      <c r="AC95" s="9">
        <v>10.404</v>
      </c>
      <c r="AD95" s="9">
        <v>4.7235294117647056E-2</v>
      </c>
      <c r="AE95" s="9">
        <v>0.1648235294117647</v>
      </c>
      <c r="AF95" s="9">
        <v>0.29347058823529409</v>
      </c>
      <c r="AG95" s="9">
        <v>2.8588235294117643E-2</v>
      </c>
      <c r="AH95" s="9">
        <v>0.20726470588235293</v>
      </c>
      <c r="AI95" s="9">
        <v>0.20317647058823529</v>
      </c>
      <c r="AJ95" s="9">
        <v>2.8209705882352938</v>
      </c>
      <c r="AK95" s="4"/>
      <c r="AL95" s="4"/>
      <c r="AM95" s="4"/>
    </row>
    <row r="96" spans="1:39" x14ac:dyDescent="0.25">
      <c r="A96" s="7" t="s">
        <v>130</v>
      </c>
      <c r="B96" s="27" t="s">
        <v>482</v>
      </c>
      <c r="C96" s="7" t="s">
        <v>20</v>
      </c>
      <c r="D96" s="7" t="s">
        <v>31</v>
      </c>
      <c r="E96" s="7">
        <v>1</v>
      </c>
      <c r="F96" s="7" t="s">
        <v>125</v>
      </c>
      <c r="G96" s="8" t="s">
        <v>995</v>
      </c>
      <c r="H96" s="5">
        <f t="shared" si="1"/>
        <v>197.8751470588235</v>
      </c>
      <c r="I96" s="6">
        <v>0.13970588235294118</v>
      </c>
      <c r="J96" s="6">
        <v>0.12797058823529411</v>
      </c>
      <c r="K96" s="6">
        <v>0.85367647058823526</v>
      </c>
      <c r="L96" s="6">
        <v>0</v>
      </c>
      <c r="M96" s="6">
        <v>0.18932352941176467</v>
      </c>
      <c r="N96" s="6">
        <v>38.027764705882348</v>
      </c>
      <c r="O96" s="6">
        <v>2.3816176470588233</v>
      </c>
      <c r="P96" s="6">
        <v>2.3969411764705879</v>
      </c>
      <c r="Q96" s="6">
        <v>4.006823529411764</v>
      </c>
      <c r="R96" s="6">
        <v>0.34676470588235292</v>
      </c>
      <c r="S96" s="15">
        <v>12.132</v>
      </c>
      <c r="T96" s="15">
        <v>0</v>
      </c>
      <c r="U96" s="15">
        <v>0</v>
      </c>
      <c r="V96" s="9">
        <v>73.216617647058825</v>
      </c>
      <c r="W96" s="9">
        <v>4.3492058823529414</v>
      </c>
      <c r="X96" s="9">
        <v>39.1130294117647</v>
      </c>
      <c r="Y96" s="9">
        <v>0.40085294117647052</v>
      </c>
      <c r="Z96" s="9">
        <v>1.8141764705882353</v>
      </c>
      <c r="AA96" s="9">
        <v>0.28547058823529409</v>
      </c>
      <c r="AB96" s="9">
        <v>0.44644117647058823</v>
      </c>
      <c r="AC96" s="9">
        <v>12.912852941176469</v>
      </c>
      <c r="AD96" s="9">
        <v>6.7647058823529407E-2</v>
      </c>
      <c r="AE96" s="9">
        <v>0.16173529411764703</v>
      </c>
      <c r="AF96" s="9">
        <v>0.36220588235294116</v>
      </c>
      <c r="AG96" s="9">
        <v>3.8411764705882354E-2</v>
      </c>
      <c r="AH96" s="9">
        <v>0.31094117647058822</v>
      </c>
      <c r="AI96" s="9">
        <v>0.28911764705882348</v>
      </c>
      <c r="AJ96" s="9">
        <v>3.5038529411764707</v>
      </c>
      <c r="AK96" s="4"/>
      <c r="AL96" s="4"/>
      <c r="AM96" s="4"/>
    </row>
    <row r="97" spans="1:39" x14ac:dyDescent="0.25">
      <c r="A97" s="8" t="s">
        <v>131</v>
      </c>
      <c r="B97" s="27" t="s">
        <v>483</v>
      </c>
      <c r="C97" s="8" t="s">
        <v>20</v>
      </c>
      <c r="D97" s="8" t="s">
        <v>33</v>
      </c>
      <c r="E97" s="8">
        <v>2</v>
      </c>
      <c r="F97" s="7" t="s">
        <v>125</v>
      </c>
      <c r="G97" s="8" t="s">
        <v>995</v>
      </c>
      <c r="H97" s="5">
        <f t="shared" si="1"/>
        <v>98.851529411764702</v>
      </c>
      <c r="I97" s="6">
        <v>1.7058823529411762E-2</v>
      </c>
      <c r="J97" s="6">
        <v>4.5411764705882353E-2</v>
      </c>
      <c r="K97" s="6">
        <v>0.2732941176470588</v>
      </c>
      <c r="L97" s="6">
        <v>0</v>
      </c>
      <c r="M97" s="6">
        <v>9.9676470588235297E-2</v>
      </c>
      <c r="N97" s="6">
        <v>18.450705882352942</v>
      </c>
      <c r="O97" s="6">
        <v>0.74541176470588233</v>
      </c>
      <c r="P97" s="6">
        <v>1.2009705882352941</v>
      </c>
      <c r="Q97" s="6">
        <v>1.7161764705882352</v>
      </c>
      <c r="R97" s="6">
        <v>0.21888235294117644</v>
      </c>
      <c r="S97" s="16">
        <v>7.6808235294117635</v>
      </c>
      <c r="T97" s="16">
        <v>7.1470588235294109E-3</v>
      </c>
      <c r="U97" s="16">
        <v>1.4382352941176469E-2</v>
      </c>
      <c r="V97" s="6">
        <v>30.993264705882353</v>
      </c>
      <c r="W97" s="6">
        <v>1.9749117647058823</v>
      </c>
      <c r="X97" s="6">
        <v>20.61061764705882</v>
      </c>
      <c r="Y97" s="6">
        <v>0.24938235294117647</v>
      </c>
      <c r="Z97" s="6">
        <v>0.7042647058823529</v>
      </c>
      <c r="AA97" s="6">
        <v>0.14535294117647057</v>
      </c>
      <c r="AB97" s="6">
        <v>0.25417647058823528</v>
      </c>
      <c r="AC97" s="6">
        <v>9.7589117647058803</v>
      </c>
      <c r="AD97" s="6">
        <v>3.2647058823529411E-2</v>
      </c>
      <c r="AE97" s="6">
        <v>0.12294117647058822</v>
      </c>
      <c r="AF97" s="6">
        <v>0.29917647058823527</v>
      </c>
      <c r="AG97" s="6">
        <v>2.3794117647058823E-2</v>
      </c>
      <c r="AH97" s="6">
        <v>0.19388235294117648</v>
      </c>
      <c r="AI97" s="6">
        <v>0.20532352941176468</v>
      </c>
      <c r="AJ97" s="6">
        <v>2.8129411764705883</v>
      </c>
      <c r="AK97" s="4"/>
      <c r="AL97" s="4"/>
      <c r="AM97" s="4"/>
    </row>
    <row r="98" spans="1:39" x14ac:dyDescent="0.25">
      <c r="A98" s="8" t="s">
        <v>132</v>
      </c>
      <c r="B98" s="27" t="s">
        <v>484</v>
      </c>
      <c r="C98" s="8" t="s">
        <v>20</v>
      </c>
      <c r="D98" s="8" t="s">
        <v>35</v>
      </c>
      <c r="E98" s="8">
        <v>2</v>
      </c>
      <c r="F98" s="7" t="s">
        <v>125</v>
      </c>
      <c r="G98" s="8" t="s">
        <v>995</v>
      </c>
      <c r="H98" s="5">
        <f t="shared" si="1"/>
        <v>116.25152941176468</v>
      </c>
      <c r="I98" s="6">
        <v>1.9499999999999997E-2</v>
      </c>
      <c r="J98" s="6">
        <v>5.2705882352941165E-2</v>
      </c>
      <c r="K98" s="6">
        <v>0.30579411764705883</v>
      </c>
      <c r="L98" s="6">
        <v>0</v>
      </c>
      <c r="M98" s="6">
        <v>0.11888235294117645</v>
      </c>
      <c r="N98" s="6">
        <v>20.861176470588234</v>
      </c>
      <c r="O98" s="6">
        <v>1.669970588235294</v>
      </c>
      <c r="P98" s="6">
        <v>1.9525588235294116</v>
      </c>
      <c r="Q98" s="6">
        <v>1.9493235294117646</v>
      </c>
      <c r="R98" s="6">
        <v>0.28020588235294114</v>
      </c>
      <c r="S98" s="16">
        <v>8.6987352941176468</v>
      </c>
      <c r="T98" s="16">
        <v>1.0058823529411764E-2</v>
      </c>
      <c r="U98" s="16">
        <v>8.5882352941176465E-3</v>
      </c>
      <c r="V98" s="6">
        <v>43.584058823529411</v>
      </c>
      <c r="W98" s="6">
        <v>2.1517352941176466</v>
      </c>
      <c r="X98" s="6">
        <v>20.054794117647056</v>
      </c>
      <c r="Y98" s="6">
        <v>0.2819411764705882</v>
      </c>
      <c r="Z98" s="6">
        <v>0.7762941176470588</v>
      </c>
      <c r="AA98" s="6">
        <v>0.18958823529411764</v>
      </c>
      <c r="AB98" s="6">
        <v>0.2382941176470588</v>
      </c>
      <c r="AC98" s="6">
        <v>9.9019705882352937</v>
      </c>
      <c r="AD98" s="6">
        <v>3.0470588235294114E-2</v>
      </c>
      <c r="AE98" s="6">
        <v>0.11605882352941176</v>
      </c>
      <c r="AF98" s="6">
        <v>0.26011764705882351</v>
      </c>
      <c r="AG98" s="6">
        <v>2.2852941176470586E-2</v>
      </c>
      <c r="AH98" s="6">
        <v>0.1938235294117647</v>
      </c>
      <c r="AI98" s="6">
        <v>0.18197058823529411</v>
      </c>
      <c r="AJ98" s="6">
        <v>2.3400588235294117</v>
      </c>
      <c r="AK98" s="4"/>
      <c r="AL98" s="4"/>
      <c r="AM98" s="4"/>
    </row>
    <row r="99" spans="1:39" x14ac:dyDescent="0.25">
      <c r="A99" s="7" t="s">
        <v>133</v>
      </c>
      <c r="B99" s="27" t="s">
        <v>485</v>
      </c>
      <c r="C99" s="7" t="s">
        <v>20</v>
      </c>
      <c r="D99" s="7" t="s">
        <v>37</v>
      </c>
      <c r="E99" s="7">
        <v>2</v>
      </c>
      <c r="F99" s="7" t="s">
        <v>125</v>
      </c>
      <c r="G99" s="8" t="s">
        <v>995</v>
      </c>
      <c r="H99" s="5">
        <f t="shared" si="1"/>
        <v>94.276852941176472</v>
      </c>
      <c r="I99" s="6">
        <v>0.2387941176470588</v>
      </c>
      <c r="J99" s="6">
        <v>0.1708529411764706</v>
      </c>
      <c r="K99" s="6">
        <v>0.48738235294117643</v>
      </c>
      <c r="L99" s="6">
        <v>0</v>
      </c>
      <c r="M99" s="6">
        <v>0.13655882352941176</v>
      </c>
      <c r="N99" s="6">
        <v>19.394058823529409</v>
      </c>
      <c r="O99" s="6">
        <v>0.76791176470588229</v>
      </c>
      <c r="P99" s="6">
        <v>0.17558823529411763</v>
      </c>
      <c r="Q99" s="6">
        <v>2.3092941176470587</v>
      </c>
      <c r="R99" s="6">
        <v>0.23158823529411765</v>
      </c>
      <c r="S99" s="15">
        <v>8.8539999999999992</v>
      </c>
      <c r="T99" s="15">
        <v>0</v>
      </c>
      <c r="U99" s="15">
        <v>0</v>
      </c>
      <c r="V99" s="9">
        <v>18.929794117647059</v>
      </c>
      <c r="W99" s="9">
        <v>1.8098823529411763</v>
      </c>
      <c r="X99" s="9">
        <v>22.590352941176469</v>
      </c>
      <c r="Y99" s="9">
        <v>0.23791176470588235</v>
      </c>
      <c r="Z99" s="9">
        <v>0.54323529411764704</v>
      </c>
      <c r="AA99" s="9">
        <v>8.8794117647058815E-2</v>
      </c>
      <c r="AB99" s="9">
        <v>0.16426470588235292</v>
      </c>
      <c r="AC99" s="9">
        <v>12.49420588235294</v>
      </c>
      <c r="AD99" s="9">
        <v>4.6794117647058819E-2</v>
      </c>
      <c r="AE99" s="9">
        <v>0.12335294117647057</v>
      </c>
      <c r="AF99" s="9">
        <v>0.28388235294117642</v>
      </c>
      <c r="AG99" s="9">
        <v>2.6176470588235291E-2</v>
      </c>
      <c r="AH99" s="9">
        <v>0.17835294117647058</v>
      </c>
      <c r="AI99" s="9">
        <v>0.33817647058823525</v>
      </c>
      <c r="AJ99" s="9">
        <v>3.6556470588235292</v>
      </c>
      <c r="AK99" s="4"/>
      <c r="AL99" s="4"/>
      <c r="AM99" s="4"/>
    </row>
    <row r="100" spans="1:39" x14ac:dyDescent="0.25">
      <c r="A100" s="7" t="s">
        <v>134</v>
      </c>
      <c r="B100" s="27" t="s">
        <v>486</v>
      </c>
      <c r="C100" s="7" t="s">
        <v>20</v>
      </c>
      <c r="D100" s="7" t="s">
        <v>39</v>
      </c>
      <c r="E100" s="7">
        <v>2</v>
      </c>
      <c r="F100" s="7" t="s">
        <v>125</v>
      </c>
      <c r="G100" s="8" t="s">
        <v>995</v>
      </c>
      <c r="H100" s="5">
        <f t="shared" si="1"/>
        <v>90.519617647058809</v>
      </c>
      <c r="I100" s="6">
        <v>0.19670588235294115</v>
      </c>
      <c r="J100" s="6">
        <v>0.17402941176470588</v>
      </c>
      <c r="K100" s="6">
        <v>0.56108823529411755</v>
      </c>
      <c r="L100" s="6">
        <v>0</v>
      </c>
      <c r="M100" s="6">
        <v>0.13</v>
      </c>
      <c r="N100" s="6">
        <v>20.05841176470588</v>
      </c>
      <c r="O100" s="6">
        <v>0.26985294117647057</v>
      </c>
      <c r="P100" s="6">
        <v>0.27752941176470586</v>
      </c>
      <c r="Q100" s="6">
        <v>1.4458823529411764</v>
      </c>
      <c r="R100" s="6">
        <v>0.23435294117647057</v>
      </c>
      <c r="S100" s="15">
        <v>9.7810000000000006</v>
      </c>
      <c r="T100" s="15">
        <v>0</v>
      </c>
      <c r="U100" s="15">
        <v>0</v>
      </c>
      <c r="V100" s="9">
        <v>14.977735294117647</v>
      </c>
      <c r="W100" s="9">
        <v>1.178735294117647</v>
      </c>
      <c r="X100" s="9">
        <v>22.849617647058821</v>
      </c>
      <c r="Y100" s="9">
        <v>0.316735294117647</v>
      </c>
      <c r="Z100" s="9">
        <v>0.44449999999999995</v>
      </c>
      <c r="AA100" s="9">
        <v>0.11799999999999999</v>
      </c>
      <c r="AB100" s="9">
        <v>0.13138235294117648</v>
      </c>
      <c r="AC100" s="9">
        <v>13.231911764705881</v>
      </c>
      <c r="AD100" s="9">
        <v>3.1470588235294111E-2</v>
      </c>
      <c r="AE100" s="9">
        <v>0.1606176470588235</v>
      </c>
      <c r="AF100" s="9">
        <v>0.31664705882352939</v>
      </c>
      <c r="AG100" s="9">
        <v>2.3235294117647059E-2</v>
      </c>
      <c r="AH100" s="9">
        <v>0.16167647058823528</v>
      </c>
      <c r="AI100" s="9">
        <v>0.25094117647058817</v>
      </c>
      <c r="AJ100" s="9">
        <v>3.1975588235294112</v>
      </c>
      <c r="AK100" s="4"/>
      <c r="AL100" s="4"/>
      <c r="AM100" s="4"/>
    </row>
    <row r="101" spans="1:39" x14ac:dyDescent="0.25">
      <c r="A101" s="7" t="s">
        <v>135</v>
      </c>
      <c r="B101" s="27" t="s">
        <v>487</v>
      </c>
      <c r="C101" s="7" t="s">
        <v>20</v>
      </c>
      <c r="D101" s="7" t="s">
        <v>41</v>
      </c>
      <c r="E101" s="7">
        <v>2</v>
      </c>
      <c r="F101" s="7" t="s">
        <v>125</v>
      </c>
      <c r="G101" s="8" t="s">
        <v>995</v>
      </c>
      <c r="H101" s="5">
        <f t="shared" si="1"/>
        <v>212.47470588235291</v>
      </c>
      <c r="I101" s="6">
        <v>0.14785294117647058</v>
      </c>
      <c r="J101" s="6">
        <v>0.13635294117647057</v>
      </c>
      <c r="K101" s="6">
        <v>0.62849999999999995</v>
      </c>
      <c r="L101" s="6">
        <v>0</v>
      </c>
      <c r="M101" s="6">
        <v>0.19379411764705881</v>
      </c>
      <c r="N101" s="6">
        <v>36.637911764705876</v>
      </c>
      <c r="O101" s="6">
        <v>1.9371470588235293</v>
      </c>
      <c r="P101" s="6">
        <v>2.4320294117647059</v>
      </c>
      <c r="Q101" s="6">
        <v>2.8941470588235294</v>
      </c>
      <c r="R101" s="6">
        <v>0.39920588235294113</v>
      </c>
      <c r="S101" s="15">
        <v>15.678000000000001</v>
      </c>
      <c r="T101" s="15">
        <v>0</v>
      </c>
      <c r="U101" s="15">
        <v>0</v>
      </c>
      <c r="V101" s="9">
        <v>83.745970588235281</v>
      </c>
      <c r="W101" s="9">
        <v>4.2227352941176468</v>
      </c>
      <c r="X101" s="9">
        <v>38.816735294117642</v>
      </c>
      <c r="Y101" s="9">
        <v>0.39135294117647057</v>
      </c>
      <c r="Z101" s="9">
        <v>1.3946176470588234</v>
      </c>
      <c r="AA101" s="9">
        <v>0.34891176470588231</v>
      </c>
      <c r="AB101" s="9">
        <v>0.58908823529411758</v>
      </c>
      <c r="AC101" s="9">
        <v>15.965176470588235</v>
      </c>
      <c r="AD101" s="9">
        <v>5.9411764705882344E-2</v>
      </c>
      <c r="AE101" s="9">
        <v>0.19367647058823528</v>
      </c>
      <c r="AF101" s="9">
        <v>0.49226470588235288</v>
      </c>
      <c r="AG101" s="9">
        <v>3.9705882352941174E-2</v>
      </c>
      <c r="AH101" s="9">
        <v>0.25905882352941179</v>
      </c>
      <c r="AI101" s="9">
        <v>0.35732352941176471</v>
      </c>
      <c r="AJ101" s="9">
        <v>4.5137352941176463</v>
      </c>
      <c r="AK101" s="4"/>
      <c r="AL101" s="4"/>
      <c r="AM101" s="4"/>
    </row>
    <row r="102" spans="1:39" x14ac:dyDescent="0.25">
      <c r="A102" s="8" t="s">
        <v>136</v>
      </c>
      <c r="B102" s="27" t="s">
        <v>488</v>
      </c>
      <c r="C102" s="8" t="s">
        <v>20</v>
      </c>
      <c r="D102" s="8" t="s">
        <v>47</v>
      </c>
      <c r="E102" s="8">
        <v>6</v>
      </c>
      <c r="F102" s="7" t="s">
        <v>125</v>
      </c>
      <c r="G102" s="8" t="s">
        <v>995</v>
      </c>
      <c r="H102" s="5">
        <f t="shared" si="1"/>
        <v>64.258558823529398</v>
      </c>
      <c r="I102" s="6">
        <v>5.5500000000000001E-2</v>
      </c>
      <c r="J102" s="6">
        <v>0.16199999999999998</v>
      </c>
      <c r="K102" s="6">
        <v>0.55023529411764704</v>
      </c>
      <c r="L102" s="6">
        <v>0</v>
      </c>
      <c r="M102" s="6">
        <v>0.10705882352941176</v>
      </c>
      <c r="N102" s="6">
        <v>13.629882352941173</v>
      </c>
      <c r="O102" s="6">
        <v>0.19311764705882351</v>
      </c>
      <c r="P102" s="6">
        <v>0.24444117647058822</v>
      </c>
      <c r="Q102" s="6">
        <v>0.8768529411764705</v>
      </c>
      <c r="R102" s="6">
        <v>0.19020588235294117</v>
      </c>
      <c r="S102" s="16">
        <v>8.6817058823529401</v>
      </c>
      <c r="T102" s="16">
        <v>3.4735294117647052E-2</v>
      </c>
      <c r="U102" s="16">
        <v>6.7500000000000004E-2</v>
      </c>
      <c r="V102" s="6">
        <v>7.6909411764705879</v>
      </c>
      <c r="W102" s="6">
        <v>0.80091176470588232</v>
      </c>
      <c r="X102" s="6">
        <v>15.259499999999999</v>
      </c>
      <c r="Y102" s="6">
        <v>0.18011764705882352</v>
      </c>
      <c r="Z102" s="6">
        <v>0.2727941176470588</v>
      </c>
      <c r="AA102" s="6">
        <v>7.4176470588235288E-2</v>
      </c>
      <c r="AB102" s="6">
        <v>9.6264705882352947E-2</v>
      </c>
      <c r="AC102" s="6">
        <v>11.492794117647058</v>
      </c>
      <c r="AD102" s="6">
        <v>1.8499999999999996E-2</v>
      </c>
      <c r="AE102" s="6">
        <v>0.11314705882352939</v>
      </c>
      <c r="AF102" s="6">
        <v>0.19514705882352942</v>
      </c>
      <c r="AG102" s="6">
        <v>1.7970588235294117E-2</v>
      </c>
      <c r="AH102" s="6">
        <v>0.13008823529411764</v>
      </c>
      <c r="AI102" s="6">
        <v>0.31858823529411762</v>
      </c>
      <c r="AJ102" s="6">
        <v>2.8043823529411762</v>
      </c>
      <c r="AK102" s="4"/>
      <c r="AL102" s="4"/>
      <c r="AM102" s="4"/>
    </row>
    <row r="103" spans="1:39" x14ac:dyDescent="0.25">
      <c r="A103" s="8" t="s">
        <v>137</v>
      </c>
      <c r="B103" s="27" t="s">
        <v>489</v>
      </c>
      <c r="C103" s="8" t="s">
        <v>20</v>
      </c>
      <c r="D103" s="8" t="s">
        <v>43</v>
      </c>
      <c r="E103" s="8">
        <v>6</v>
      </c>
      <c r="F103" s="7" t="s">
        <v>125</v>
      </c>
      <c r="G103" s="8" t="s">
        <v>995</v>
      </c>
      <c r="H103" s="5">
        <f t="shared" si="1"/>
        <v>59.245147058823541</v>
      </c>
      <c r="I103" s="6">
        <v>1.8470588235294117E-2</v>
      </c>
      <c r="J103" s="6">
        <v>4.7058823529411764E-2</v>
      </c>
      <c r="K103" s="6">
        <v>0.22570588235294117</v>
      </c>
      <c r="L103" s="6">
        <v>0</v>
      </c>
      <c r="M103" s="6">
        <v>8.5294117647058826E-2</v>
      </c>
      <c r="N103" s="6">
        <v>12.357294117647058</v>
      </c>
      <c r="O103" s="6">
        <v>0.29470588235294115</v>
      </c>
      <c r="P103" s="6">
        <v>0.43335294117647055</v>
      </c>
      <c r="Q103" s="6">
        <v>0.74355882352941161</v>
      </c>
      <c r="R103" s="6">
        <v>0.14691176470588235</v>
      </c>
      <c r="S103" s="16">
        <v>6.2467058823529413</v>
      </c>
      <c r="T103" s="16">
        <v>2.4441176470588234E-2</v>
      </c>
      <c r="U103" s="16">
        <v>4.9794117647058822E-2</v>
      </c>
      <c r="V103" s="6">
        <v>10.383176470588234</v>
      </c>
      <c r="W103" s="6">
        <v>0.73279411764705882</v>
      </c>
      <c r="X103" s="6">
        <v>15.283970588235293</v>
      </c>
      <c r="Y103" s="6">
        <v>0.21452941176470589</v>
      </c>
      <c r="Z103" s="6">
        <v>0.38258823529411762</v>
      </c>
      <c r="AA103" s="6">
        <v>8.3794117647058824E-2</v>
      </c>
      <c r="AB103" s="6">
        <v>0.14070588235294118</v>
      </c>
      <c r="AC103" s="6">
        <v>8.3017058823529393</v>
      </c>
      <c r="AD103" s="6">
        <v>2.1117647058823526E-2</v>
      </c>
      <c r="AE103" s="6">
        <v>0.12282352941176469</v>
      </c>
      <c r="AF103" s="6">
        <v>0.20735294117647055</v>
      </c>
      <c r="AG103" s="6">
        <v>1.8029411764705881E-2</v>
      </c>
      <c r="AH103" s="6">
        <v>0.1242941176470588</v>
      </c>
      <c r="AI103" s="6">
        <v>0.18770588235294117</v>
      </c>
      <c r="AJ103" s="6">
        <v>2.3672647058823526</v>
      </c>
      <c r="AK103" s="4"/>
      <c r="AL103" s="4"/>
      <c r="AM103" s="4"/>
    </row>
    <row r="104" spans="1:39" x14ac:dyDescent="0.25">
      <c r="A104" s="7" t="s">
        <v>138</v>
      </c>
      <c r="B104" s="27" t="s">
        <v>490</v>
      </c>
      <c r="C104" s="7" t="s">
        <v>20</v>
      </c>
      <c r="D104" s="7" t="s">
        <v>49</v>
      </c>
      <c r="E104" s="7">
        <v>6</v>
      </c>
      <c r="F104" s="7" t="s">
        <v>125</v>
      </c>
      <c r="G104" s="8" t="s">
        <v>995</v>
      </c>
      <c r="H104" s="5">
        <f t="shared" si="1"/>
        <v>67.531441176470608</v>
      </c>
      <c r="I104" s="6">
        <v>0.18932352941176467</v>
      </c>
      <c r="J104" s="6">
        <v>0.13197058823529412</v>
      </c>
      <c r="K104" s="6">
        <v>0.35794117647058821</v>
      </c>
      <c r="L104" s="6">
        <v>0</v>
      </c>
      <c r="M104" s="6">
        <v>0.10938235294117646</v>
      </c>
      <c r="N104" s="6">
        <v>12.789117647058823</v>
      </c>
      <c r="O104" s="6">
        <v>0.32317647058823529</v>
      </c>
      <c r="P104" s="6">
        <v>0.48755882352941171</v>
      </c>
      <c r="Q104" s="6">
        <v>0.68826470588235289</v>
      </c>
      <c r="R104" s="6">
        <v>0.20029411764705879</v>
      </c>
      <c r="S104" s="15">
        <v>8.2149999999999999</v>
      </c>
      <c r="T104" s="15">
        <v>4.1000000000000002E-2</v>
      </c>
      <c r="U104" s="15">
        <v>9.0999999999999998E-2</v>
      </c>
      <c r="V104" s="9">
        <v>9.9386176470588232</v>
      </c>
      <c r="W104" s="9">
        <v>0.86811764705882344</v>
      </c>
      <c r="X104" s="9">
        <v>16.894970588235292</v>
      </c>
      <c r="Y104" s="9">
        <v>0.17132352941176471</v>
      </c>
      <c r="Z104" s="9">
        <v>0.27670588235294113</v>
      </c>
      <c r="AA104" s="9">
        <v>7.879411764705882E-2</v>
      </c>
      <c r="AB104" s="9">
        <v>0.1203235294117647</v>
      </c>
      <c r="AC104" s="9">
        <v>11.833970588235294</v>
      </c>
      <c r="AD104" s="9">
        <v>1.5117647058823527E-2</v>
      </c>
      <c r="AE104" s="9">
        <v>0.11347058823529411</v>
      </c>
      <c r="AF104" s="9">
        <v>0.2387941176470588</v>
      </c>
      <c r="AG104" s="9">
        <v>2.5970588235294113E-2</v>
      </c>
      <c r="AH104" s="9">
        <v>0.15958823529411764</v>
      </c>
      <c r="AI104" s="9">
        <v>0.3029705882352941</v>
      </c>
      <c r="AJ104" s="9">
        <v>2.8686764705882353</v>
      </c>
      <c r="AK104" s="4"/>
      <c r="AL104" s="4"/>
      <c r="AM104" s="4"/>
    </row>
    <row r="105" spans="1:39" x14ac:dyDescent="0.25">
      <c r="A105" s="7" t="s">
        <v>139</v>
      </c>
      <c r="B105" s="27" t="s">
        <v>491</v>
      </c>
      <c r="C105" s="7" t="s">
        <v>20</v>
      </c>
      <c r="D105" s="7" t="s">
        <v>45</v>
      </c>
      <c r="E105" s="7">
        <v>6</v>
      </c>
      <c r="F105" s="7" t="s">
        <v>125</v>
      </c>
      <c r="G105" s="8" t="s">
        <v>995</v>
      </c>
      <c r="H105" s="5">
        <f t="shared" si="1"/>
        <v>65.22491176470588</v>
      </c>
      <c r="I105" s="6">
        <v>0.12514705882352939</v>
      </c>
      <c r="J105" s="6">
        <v>9.5529411764705877E-2</v>
      </c>
      <c r="K105" s="6">
        <v>0.30341176470588233</v>
      </c>
      <c r="L105" s="6">
        <v>0</v>
      </c>
      <c r="M105" s="6">
        <v>9.7352941176470573E-2</v>
      </c>
      <c r="N105" s="6">
        <v>12.169058823529411</v>
      </c>
      <c r="O105" s="6">
        <v>0.32350000000000001</v>
      </c>
      <c r="P105" s="6">
        <v>0.38044117647058817</v>
      </c>
      <c r="Q105" s="6">
        <v>0.70602941176470591</v>
      </c>
      <c r="R105" s="6">
        <v>0.18264705882352941</v>
      </c>
      <c r="S105" s="15">
        <v>8.4179999999999993</v>
      </c>
      <c r="T105" s="15">
        <v>4.2999999999999997E-2</v>
      </c>
      <c r="U105" s="15">
        <v>8.1000000000000003E-2</v>
      </c>
      <c r="V105" s="9">
        <v>9.0690294117647063</v>
      </c>
      <c r="W105" s="9">
        <v>0.83697058823529402</v>
      </c>
      <c r="X105" s="9">
        <v>15.728176470588233</v>
      </c>
      <c r="Y105" s="9">
        <v>0.16876470588235293</v>
      </c>
      <c r="Z105" s="9">
        <v>0.26870588235294113</v>
      </c>
      <c r="AA105" s="9">
        <v>7.9352941176470584E-2</v>
      </c>
      <c r="AB105" s="9">
        <v>9.6617647058823516E-2</v>
      </c>
      <c r="AC105" s="9">
        <v>12.26020588235294</v>
      </c>
      <c r="AD105" s="9">
        <v>1.8117647058823527E-2</v>
      </c>
      <c r="AE105" s="9">
        <v>0.12170588235294116</v>
      </c>
      <c r="AF105" s="9">
        <v>0.2031470588235294</v>
      </c>
      <c r="AG105" s="9">
        <v>3.2235294117647056E-2</v>
      </c>
      <c r="AH105" s="9">
        <v>0.16299999999999998</v>
      </c>
      <c r="AI105" s="9">
        <v>0.29473529411764704</v>
      </c>
      <c r="AJ105" s="9">
        <v>2.9590294117647056</v>
      </c>
      <c r="AK105" s="4"/>
      <c r="AL105" s="4"/>
      <c r="AM105" s="4"/>
    </row>
    <row r="106" spans="1:39" x14ac:dyDescent="0.25">
      <c r="A106" s="7" t="s">
        <v>140</v>
      </c>
      <c r="B106" s="27" t="s">
        <v>492</v>
      </c>
      <c r="C106" s="8" t="s">
        <v>146</v>
      </c>
      <c r="D106" s="7" t="s">
        <v>141</v>
      </c>
      <c r="E106" s="7">
        <v>0</v>
      </c>
      <c r="F106" s="7" t="s">
        <v>13</v>
      </c>
      <c r="G106" s="8" t="s">
        <v>1012</v>
      </c>
      <c r="H106" s="5">
        <f t="shared" si="1"/>
        <v>63.568323529411757</v>
      </c>
      <c r="I106" s="6">
        <v>5.020588235294117E-2</v>
      </c>
      <c r="J106" s="6">
        <v>0.32855882352941174</v>
      </c>
      <c r="K106" s="6">
        <v>1.0200882352941176</v>
      </c>
      <c r="L106" s="6">
        <v>0</v>
      </c>
      <c r="M106" s="6">
        <v>0.20476470588235293</v>
      </c>
      <c r="N106" s="6">
        <v>15.996647058823529</v>
      </c>
      <c r="O106" s="6">
        <v>0</v>
      </c>
      <c r="P106" s="6">
        <v>0</v>
      </c>
      <c r="Q106" s="6">
        <v>3.1015294117647052</v>
      </c>
      <c r="R106" s="6">
        <v>0.21085294117647058</v>
      </c>
      <c r="S106" s="15">
        <v>7.1470000000000002</v>
      </c>
      <c r="T106" s="15">
        <v>0</v>
      </c>
      <c r="U106" s="15">
        <v>0</v>
      </c>
      <c r="V106" s="6">
        <v>13.473647058823527</v>
      </c>
      <c r="W106" s="6">
        <v>1.8155882352941173</v>
      </c>
      <c r="X106" s="6">
        <v>11.258441176470587</v>
      </c>
      <c r="Y106" s="6">
        <v>8.017647058823528E-2</v>
      </c>
      <c r="Z106" s="6">
        <v>0.4790588235294117</v>
      </c>
      <c r="AA106" s="6">
        <v>0.19947058823529412</v>
      </c>
      <c r="AB106" s="6">
        <v>0.2214411764705882</v>
      </c>
      <c r="AC106" s="6">
        <v>5.4228823529411763</v>
      </c>
      <c r="AD106" s="6">
        <v>3.9882352941176466E-2</v>
      </c>
      <c r="AE106" s="6">
        <v>0.21076470588235294</v>
      </c>
      <c r="AF106" s="6">
        <v>9.3705882352941167E-2</v>
      </c>
      <c r="AG106" s="6">
        <v>7.114705882352941E-2</v>
      </c>
      <c r="AH106" s="6">
        <v>0.80802941176470577</v>
      </c>
      <c r="AI106" s="6">
        <v>0.20932352941176469</v>
      </c>
      <c r="AJ106" s="6">
        <v>1.1251176470588233</v>
      </c>
      <c r="AK106" s="4"/>
      <c r="AL106" s="4"/>
      <c r="AM106" s="4"/>
    </row>
    <row r="107" spans="1:39" x14ac:dyDescent="0.25">
      <c r="A107" s="7" t="s">
        <v>142</v>
      </c>
      <c r="B107" s="27" t="s">
        <v>493</v>
      </c>
      <c r="C107" s="8" t="s">
        <v>146</v>
      </c>
      <c r="D107" s="7" t="s">
        <v>143</v>
      </c>
      <c r="E107" s="7">
        <v>1</v>
      </c>
      <c r="F107" s="7" t="s">
        <v>13</v>
      </c>
      <c r="G107" s="8" t="s">
        <v>1012</v>
      </c>
      <c r="H107" s="5">
        <f t="shared" si="1"/>
        <v>116.30526470588235</v>
      </c>
      <c r="I107" s="6">
        <v>7.588235294117647E-2</v>
      </c>
      <c r="J107" s="6">
        <v>0.44170588235294117</v>
      </c>
      <c r="K107" s="6">
        <v>1.9586470588235292</v>
      </c>
      <c r="L107" s="6">
        <v>0</v>
      </c>
      <c r="M107" s="6">
        <v>0.29382352941176471</v>
      </c>
      <c r="N107" s="6">
        <v>32.993117647058824</v>
      </c>
      <c r="O107" s="6">
        <v>0</v>
      </c>
      <c r="P107" s="6">
        <v>0</v>
      </c>
      <c r="Q107" s="6">
        <v>7.082911764705881</v>
      </c>
      <c r="R107" s="6">
        <v>0.2859411764705882</v>
      </c>
      <c r="S107" s="15">
        <v>11.287000000000001</v>
      </c>
      <c r="T107" s="15">
        <v>0</v>
      </c>
      <c r="U107" s="15">
        <v>0</v>
      </c>
      <c r="V107" s="6">
        <v>25.449058823529409</v>
      </c>
      <c r="W107" s="6">
        <v>3.2802941176470584</v>
      </c>
      <c r="X107" s="6">
        <v>20.458647058823527</v>
      </c>
      <c r="Y107" s="6">
        <v>0.14879411764705883</v>
      </c>
      <c r="Z107" s="6">
        <v>1.1243823529411765</v>
      </c>
      <c r="AA107" s="6">
        <v>0.30555882352941172</v>
      </c>
      <c r="AB107" s="6">
        <v>0.40499999999999992</v>
      </c>
      <c r="AC107" s="6">
        <v>7.0684411764705875</v>
      </c>
      <c r="AD107" s="6">
        <v>9.0176470588235288E-2</v>
      </c>
      <c r="AE107" s="6">
        <v>0.31438235294117645</v>
      </c>
      <c r="AF107" s="6">
        <v>0.19605882352941173</v>
      </c>
      <c r="AG107" s="6">
        <v>0.11417647058823528</v>
      </c>
      <c r="AH107" s="6">
        <v>1.0988529411764705</v>
      </c>
      <c r="AI107" s="6">
        <v>0.2631470588235294</v>
      </c>
      <c r="AJ107" s="6">
        <v>1.5692647058823528</v>
      </c>
      <c r="AK107" s="4"/>
      <c r="AL107" s="4"/>
      <c r="AM107" s="4"/>
    </row>
    <row r="108" spans="1:39" x14ac:dyDescent="0.25">
      <c r="A108" s="7" t="s">
        <v>144</v>
      </c>
      <c r="B108" s="27" t="s">
        <v>494</v>
      </c>
      <c r="C108" s="8" t="s">
        <v>146</v>
      </c>
      <c r="D108" s="7" t="s">
        <v>145</v>
      </c>
      <c r="E108" s="7">
        <v>1</v>
      </c>
      <c r="F108" s="7" t="s">
        <v>13</v>
      </c>
      <c r="G108" s="8" t="s">
        <v>1012</v>
      </c>
      <c r="H108" s="5">
        <f t="shared" si="1"/>
        <v>89.427499999999981</v>
      </c>
      <c r="I108" s="6">
        <v>7.7294117647058819E-2</v>
      </c>
      <c r="J108" s="6">
        <v>0.40323529411764703</v>
      </c>
      <c r="K108" s="6">
        <v>1.6794411764705881</v>
      </c>
      <c r="L108" s="6">
        <v>0</v>
      </c>
      <c r="M108" s="6">
        <v>0.54829411764705882</v>
      </c>
      <c r="N108" s="6">
        <v>23.030588235294115</v>
      </c>
      <c r="O108" s="6">
        <v>0</v>
      </c>
      <c r="P108" s="6">
        <v>0</v>
      </c>
      <c r="Q108" s="6">
        <v>5.052941176470588</v>
      </c>
      <c r="R108" s="6">
        <v>0.35379411764705876</v>
      </c>
      <c r="S108" s="15">
        <v>10.012</v>
      </c>
      <c r="T108" s="15">
        <v>0</v>
      </c>
      <c r="U108" s="15">
        <v>0</v>
      </c>
      <c r="V108" s="6">
        <v>19.477323529411763</v>
      </c>
      <c r="W108" s="6">
        <v>3.5388823529411759</v>
      </c>
      <c r="X108" s="6">
        <v>12.00376470588235</v>
      </c>
      <c r="Y108" s="6">
        <v>0.21388235294117647</v>
      </c>
      <c r="Z108" s="6">
        <v>0.54588235294117637</v>
      </c>
      <c r="AA108" s="6">
        <v>0.29864705882352938</v>
      </c>
      <c r="AB108" s="6">
        <v>0.34267647058823525</v>
      </c>
      <c r="AC108" s="6">
        <v>8.381235294117646</v>
      </c>
      <c r="AD108" s="6">
        <v>0.10811764705882353</v>
      </c>
      <c r="AE108" s="6">
        <v>0.27632352941176469</v>
      </c>
      <c r="AF108" s="6">
        <v>0.16244117647058823</v>
      </c>
      <c r="AG108" s="6">
        <v>0.10161764705882351</v>
      </c>
      <c r="AH108" s="6">
        <v>1.0583529411764705</v>
      </c>
      <c r="AI108" s="6">
        <v>0.30367647058823527</v>
      </c>
      <c r="AJ108" s="6">
        <v>1.4570882352941177</v>
      </c>
      <c r="AK108" s="4"/>
      <c r="AL108" s="4"/>
      <c r="AM108" s="4"/>
    </row>
    <row r="109" spans="1:39" x14ac:dyDescent="0.25">
      <c r="A109" s="8" t="s">
        <v>147</v>
      </c>
      <c r="B109" s="27" t="s">
        <v>495</v>
      </c>
      <c r="C109" s="8" t="s">
        <v>146</v>
      </c>
      <c r="D109" s="8" t="s">
        <v>146</v>
      </c>
      <c r="E109" s="8">
        <v>1</v>
      </c>
      <c r="F109" s="8" t="s">
        <v>13</v>
      </c>
      <c r="G109" s="8" t="s">
        <v>1012</v>
      </c>
      <c r="H109" s="5">
        <f t="shared" si="1"/>
        <v>36.995411764705885</v>
      </c>
      <c r="I109" s="6">
        <v>2.5970588235294113E-2</v>
      </c>
      <c r="J109" s="6">
        <v>0.17588235294117646</v>
      </c>
      <c r="K109" s="6">
        <v>0.56941176470588228</v>
      </c>
      <c r="L109" s="6">
        <v>0</v>
      </c>
      <c r="M109" s="6">
        <v>0.13620588235294115</v>
      </c>
      <c r="N109" s="6">
        <v>9.4932058823529406</v>
      </c>
      <c r="O109" s="6">
        <v>0</v>
      </c>
      <c r="P109" s="6">
        <v>2.5147058823529411E-2</v>
      </c>
      <c r="Q109" s="6">
        <v>1.2062352941176469</v>
      </c>
      <c r="R109" s="6">
        <v>0.15520588235294117</v>
      </c>
      <c r="S109" s="16">
        <v>3.5602941176470582</v>
      </c>
      <c r="T109" s="16">
        <v>0</v>
      </c>
      <c r="U109" s="16">
        <v>0</v>
      </c>
      <c r="V109" s="6">
        <v>7.9426764705882347</v>
      </c>
      <c r="W109" s="6">
        <v>0.93091176470588233</v>
      </c>
      <c r="X109" s="6">
        <v>9.4821764705882341</v>
      </c>
      <c r="Y109" s="6">
        <v>5.2382352941176463E-2</v>
      </c>
      <c r="Z109" s="6">
        <v>0.44470588235294112</v>
      </c>
      <c r="AA109" s="6">
        <v>8.1529411764705878E-2</v>
      </c>
      <c r="AB109" s="6">
        <v>0.23635294117647057</v>
      </c>
      <c r="AC109" s="6">
        <v>1.7846470588235293</v>
      </c>
      <c r="AD109" s="6">
        <v>2.4794117647058821E-2</v>
      </c>
      <c r="AE109" s="6">
        <v>7.4235294117647052E-2</v>
      </c>
      <c r="AF109" s="6">
        <v>6.1441176470588228E-2</v>
      </c>
      <c r="AG109" s="6">
        <v>3.455882352941176E-2</v>
      </c>
      <c r="AH109" s="6">
        <v>0.1686470588235294</v>
      </c>
      <c r="AI109" s="6">
        <v>3.5499999999999997E-2</v>
      </c>
      <c r="AJ109" s="6">
        <v>0.29329411764705882</v>
      </c>
      <c r="AK109" s="4"/>
      <c r="AL109" s="4"/>
      <c r="AM109" s="4"/>
    </row>
    <row r="110" spans="1:39" x14ac:dyDescent="0.25">
      <c r="A110" s="8" t="s">
        <v>148</v>
      </c>
      <c r="B110" s="27" t="s">
        <v>496</v>
      </c>
      <c r="C110" s="8" t="s">
        <v>146</v>
      </c>
      <c r="D110" s="8" t="s">
        <v>149</v>
      </c>
      <c r="E110" s="8">
        <v>1</v>
      </c>
      <c r="F110" s="8" t="s">
        <v>13</v>
      </c>
      <c r="G110" s="8" t="s">
        <v>1012</v>
      </c>
      <c r="H110" s="5">
        <f t="shared" si="1"/>
        <v>66.316029411764703</v>
      </c>
      <c r="I110" s="6">
        <v>8.5794117647058826E-2</v>
      </c>
      <c r="J110" s="6">
        <v>0.40114705882352941</v>
      </c>
      <c r="K110" s="6">
        <v>1.3646176470588234</v>
      </c>
      <c r="L110" s="6">
        <v>0</v>
      </c>
      <c r="M110" s="6">
        <v>0.28711764705882348</v>
      </c>
      <c r="N110" s="6">
        <v>18.112852941176467</v>
      </c>
      <c r="O110" s="6">
        <v>1.0588235294117647E-2</v>
      </c>
      <c r="P110" s="6">
        <v>1.9794117647058823E-2</v>
      </c>
      <c r="Q110" s="6">
        <v>3.3639705882352939</v>
      </c>
      <c r="R110" s="6">
        <v>0.22085294117647059</v>
      </c>
      <c r="S110" s="16">
        <v>7.5538529411764692</v>
      </c>
      <c r="T110" s="16">
        <v>0</v>
      </c>
      <c r="U110" s="16">
        <v>0</v>
      </c>
      <c r="V110" s="6">
        <v>14.811970588235292</v>
      </c>
      <c r="W110" s="6">
        <v>1.9671470588235294</v>
      </c>
      <c r="X110" s="6">
        <v>10.384941176470587</v>
      </c>
      <c r="Y110" s="6">
        <v>9.5323529411764696E-2</v>
      </c>
      <c r="Z110" s="6">
        <v>0.46920588235294114</v>
      </c>
      <c r="AA110" s="6">
        <v>0.19355882352941173</v>
      </c>
      <c r="AB110" s="6">
        <v>0.24141176470588233</v>
      </c>
      <c r="AC110" s="6">
        <v>4.6019999999999994</v>
      </c>
      <c r="AD110" s="6">
        <v>3.964705882352941E-2</v>
      </c>
      <c r="AE110" s="6">
        <v>0.18767647058823531</v>
      </c>
      <c r="AF110" s="6">
        <v>7.4117647058823524E-2</v>
      </c>
      <c r="AG110" s="6">
        <v>6.0558823529411762E-2</v>
      </c>
      <c r="AH110" s="6">
        <v>0.6783529411764706</v>
      </c>
      <c r="AI110" s="6">
        <v>0.20079411764705879</v>
      </c>
      <c r="AJ110" s="6">
        <v>0.88873529411764696</v>
      </c>
      <c r="AK110" s="4"/>
      <c r="AL110" s="4"/>
      <c r="AM110" s="4"/>
    </row>
    <row r="111" spans="1:39" x14ac:dyDescent="0.25">
      <c r="A111" s="7" t="s">
        <v>150</v>
      </c>
      <c r="B111" s="27" t="s">
        <v>497</v>
      </c>
      <c r="C111" s="8" t="s">
        <v>146</v>
      </c>
      <c r="D111" s="7" t="s">
        <v>151</v>
      </c>
      <c r="E111" s="7">
        <v>2</v>
      </c>
      <c r="F111" s="8" t="s">
        <v>13</v>
      </c>
      <c r="G111" s="8" t="s">
        <v>1012</v>
      </c>
      <c r="H111" s="5">
        <f t="shared" si="1"/>
        <v>147.49697058823531</v>
      </c>
      <c r="I111" s="6">
        <v>7.0499999999999993E-2</v>
      </c>
      <c r="J111" s="6">
        <v>0.41623529411764704</v>
      </c>
      <c r="K111" s="6">
        <v>1.7026470588235292</v>
      </c>
      <c r="L111" s="6">
        <v>0</v>
      </c>
      <c r="M111" s="6">
        <v>0.31747058823529406</v>
      </c>
      <c r="N111" s="6">
        <v>36.125117647058815</v>
      </c>
      <c r="O111" s="6">
        <v>0</v>
      </c>
      <c r="P111" s="6">
        <v>2.4970588235294112E-2</v>
      </c>
      <c r="Q111" s="6">
        <v>4.0050882352941173</v>
      </c>
      <c r="R111" s="6">
        <v>0.39432352941176468</v>
      </c>
      <c r="S111" s="15">
        <v>12.452999999999999</v>
      </c>
      <c r="T111" s="15">
        <v>0</v>
      </c>
      <c r="U111" s="15">
        <v>0</v>
      </c>
      <c r="V111" s="6">
        <v>40.954499999999996</v>
      </c>
      <c r="W111" s="6">
        <v>3.6363529411764701</v>
      </c>
      <c r="X111" s="6">
        <v>34.15664705882353</v>
      </c>
      <c r="Y111" s="6">
        <v>0.11908823529411763</v>
      </c>
      <c r="Z111" s="6">
        <v>1.7214999999999998</v>
      </c>
      <c r="AA111" s="6">
        <v>0.26341176470588235</v>
      </c>
      <c r="AB111" s="6">
        <v>0.79108823529411754</v>
      </c>
      <c r="AC111" s="6">
        <v>7.0258529411764705</v>
      </c>
      <c r="AD111" s="6">
        <v>4.3735294117647053E-2</v>
      </c>
      <c r="AE111" s="6">
        <v>0.24955882352941172</v>
      </c>
      <c r="AF111" s="6">
        <v>0.20141176470588235</v>
      </c>
      <c r="AG111" s="6">
        <v>9.4323529411764709E-2</v>
      </c>
      <c r="AH111" s="6">
        <v>1.1222941176470587</v>
      </c>
      <c r="AI111" s="6">
        <v>0.22732352941176467</v>
      </c>
      <c r="AJ111" s="6">
        <v>1.3805294117647058</v>
      </c>
      <c r="AK111" s="4"/>
      <c r="AL111" s="4"/>
      <c r="AM111" s="4"/>
    </row>
    <row r="112" spans="1:39" x14ac:dyDescent="0.25">
      <c r="A112" s="7" t="s">
        <v>152</v>
      </c>
      <c r="B112" s="27" t="s">
        <v>498</v>
      </c>
      <c r="C112" s="8" t="s">
        <v>146</v>
      </c>
      <c r="D112" s="7" t="s">
        <v>153</v>
      </c>
      <c r="E112" s="7">
        <v>2</v>
      </c>
      <c r="F112" s="8" t="s">
        <v>13</v>
      </c>
      <c r="G112" s="8" t="s">
        <v>1012</v>
      </c>
      <c r="H112" s="5">
        <f t="shared" si="1"/>
        <v>75.39947058823526</v>
      </c>
      <c r="I112" s="6">
        <v>6.5647058823529406E-2</v>
      </c>
      <c r="J112" s="6">
        <v>0.39888235294117641</v>
      </c>
      <c r="K112" s="6">
        <v>1.2467058823529411</v>
      </c>
      <c r="L112" s="6">
        <v>0</v>
      </c>
      <c r="M112" s="6">
        <v>0.29811764705882354</v>
      </c>
      <c r="N112" s="6">
        <v>19.45941176470588</v>
      </c>
      <c r="O112" s="6">
        <v>2.3058823529411764E-2</v>
      </c>
      <c r="P112" s="6">
        <v>2.2088235294117645E-2</v>
      </c>
      <c r="Q112" s="6">
        <v>3.4354705882352943</v>
      </c>
      <c r="R112" s="6">
        <v>0.25858823529411762</v>
      </c>
      <c r="S112" s="15">
        <v>9.8320000000000007</v>
      </c>
      <c r="T112" s="15">
        <v>0</v>
      </c>
      <c r="U112" s="15">
        <v>0</v>
      </c>
      <c r="V112" s="6">
        <v>15.568882352941175</v>
      </c>
      <c r="W112" s="6">
        <v>2.3539411764705882</v>
      </c>
      <c r="X112" s="6">
        <v>11.204794117647058</v>
      </c>
      <c r="Y112" s="6">
        <v>0.11317647058823528</v>
      </c>
      <c r="Z112" s="6">
        <v>0.42944117647058822</v>
      </c>
      <c r="AA112" s="6">
        <v>0.28961764705882354</v>
      </c>
      <c r="AB112" s="6">
        <v>0.25661764705882351</v>
      </c>
      <c r="AC112" s="6">
        <v>6.7014411764705883</v>
      </c>
      <c r="AD112" s="6">
        <v>6.0147058823529408E-2</v>
      </c>
      <c r="AE112" s="6">
        <v>0.41661764705882348</v>
      </c>
      <c r="AF112" s="6">
        <v>0.12179411764705882</v>
      </c>
      <c r="AG112" s="6">
        <v>0.10255882352941176</v>
      </c>
      <c r="AH112" s="6">
        <v>1.030029411764706</v>
      </c>
      <c r="AI112" s="6">
        <v>0.26155882352941173</v>
      </c>
      <c r="AJ112" s="6">
        <v>1.4488823529411763</v>
      </c>
      <c r="AK112" s="4"/>
      <c r="AL112" s="4"/>
      <c r="AM112" s="4"/>
    </row>
    <row r="113" spans="1:39" x14ac:dyDescent="0.25">
      <c r="A113" s="7" t="s">
        <v>154</v>
      </c>
      <c r="B113" s="27" t="s">
        <v>499</v>
      </c>
      <c r="C113" s="8" t="s">
        <v>146</v>
      </c>
      <c r="D113" s="7" t="s">
        <v>155</v>
      </c>
      <c r="E113" s="7">
        <v>2</v>
      </c>
      <c r="F113" s="8" t="s">
        <v>13</v>
      </c>
      <c r="G113" s="8" t="s">
        <v>1012</v>
      </c>
      <c r="H113" s="5">
        <f t="shared" si="1"/>
        <v>128.19367647058823</v>
      </c>
      <c r="I113" s="6">
        <v>8.3617647058823519E-2</v>
      </c>
      <c r="J113" s="6">
        <v>0.45817647058823524</v>
      </c>
      <c r="K113" s="6">
        <v>1.7506176470588235</v>
      </c>
      <c r="L113" s="6">
        <v>0</v>
      </c>
      <c r="M113" s="6">
        <v>0.32394117647058823</v>
      </c>
      <c r="N113" s="6">
        <v>30.358647058823525</v>
      </c>
      <c r="O113" s="6">
        <v>0</v>
      </c>
      <c r="P113" s="6">
        <v>4.0235294117647057E-2</v>
      </c>
      <c r="Q113" s="6">
        <v>3.9580882352941171</v>
      </c>
      <c r="R113" s="6">
        <v>0.39179411764705879</v>
      </c>
      <c r="S113" s="15">
        <v>13.561</v>
      </c>
      <c r="T113" s="15">
        <v>0</v>
      </c>
      <c r="U113" s="15">
        <v>0</v>
      </c>
      <c r="V113" s="6">
        <v>33.338823529411762</v>
      </c>
      <c r="W113" s="6">
        <v>3.1668823529411765</v>
      </c>
      <c r="X113" s="6">
        <v>25.684411764705878</v>
      </c>
      <c r="Y113" s="6">
        <v>9.6764705882352933E-2</v>
      </c>
      <c r="Z113" s="6">
        <v>1.0243529411764705</v>
      </c>
      <c r="AA113" s="6">
        <v>0.30202941176470588</v>
      </c>
      <c r="AB113" s="6">
        <v>0.57097058823529412</v>
      </c>
      <c r="AC113" s="6">
        <v>9.2474705882352932</v>
      </c>
      <c r="AD113" s="6">
        <v>2.6647058823529409E-2</v>
      </c>
      <c r="AE113" s="6">
        <v>0.31764705882352939</v>
      </c>
      <c r="AF113" s="6">
        <v>0.15576470588235292</v>
      </c>
      <c r="AG113" s="6">
        <v>0.10838235294117646</v>
      </c>
      <c r="AH113" s="6">
        <v>1.3285294117647057</v>
      </c>
      <c r="AI113" s="6">
        <v>0.27555882352941174</v>
      </c>
      <c r="AJ113" s="6">
        <v>1.6233235294117647</v>
      </c>
      <c r="AK113" s="4"/>
      <c r="AL113" s="4"/>
      <c r="AM113" s="4"/>
    </row>
    <row r="114" spans="1:39" x14ac:dyDescent="0.25">
      <c r="A114" s="8" t="s">
        <v>156</v>
      </c>
      <c r="B114" s="27" t="s">
        <v>500</v>
      </c>
      <c r="C114" s="8" t="s">
        <v>146</v>
      </c>
      <c r="D114" s="8" t="s">
        <v>157</v>
      </c>
      <c r="E114" s="8">
        <v>2</v>
      </c>
      <c r="F114" s="8" t="s">
        <v>13</v>
      </c>
      <c r="G114" s="8" t="s">
        <v>1012</v>
      </c>
      <c r="H114" s="5">
        <f t="shared" si="1"/>
        <v>36.469441176470582</v>
      </c>
      <c r="I114" s="6">
        <v>0.1333235294117647</v>
      </c>
      <c r="J114" s="6">
        <v>0.37841176470588234</v>
      </c>
      <c r="K114" s="6">
        <v>0.72199999999999998</v>
      </c>
      <c r="L114" s="6">
        <v>0</v>
      </c>
      <c r="M114" s="6">
        <v>0.25785294117647056</v>
      </c>
      <c r="N114" s="6">
        <v>9.3431764705882347</v>
      </c>
      <c r="O114" s="6">
        <v>1.3205882352941175E-2</v>
      </c>
      <c r="P114" s="6">
        <v>1.0176470588235294E-2</v>
      </c>
      <c r="Q114" s="6">
        <v>0.91273529411764698</v>
      </c>
      <c r="R114" s="6">
        <v>0.20982352941176469</v>
      </c>
      <c r="S114" s="16">
        <v>7.1412352941176467</v>
      </c>
      <c r="T114" s="16">
        <v>0</v>
      </c>
      <c r="U114" s="16">
        <v>0</v>
      </c>
      <c r="V114" s="6">
        <v>4.6280000000000001</v>
      </c>
      <c r="W114" s="6">
        <v>1.409205882352941</v>
      </c>
      <c r="X114" s="6">
        <v>3.8147941176470583</v>
      </c>
      <c r="Y114" s="6">
        <v>8.0882352941176461E-2</v>
      </c>
      <c r="Z114" s="6">
        <v>8.9323529411764704E-2</v>
      </c>
      <c r="AA114" s="6">
        <v>0.20520588235294115</v>
      </c>
      <c r="AB114" s="6">
        <v>0.1181470588235294</v>
      </c>
      <c r="AC114" s="6">
        <v>4.698029411764705</v>
      </c>
      <c r="AD114" s="6">
        <v>5.4882352941176465E-2</v>
      </c>
      <c r="AE114" s="6">
        <v>0.21502941176470586</v>
      </c>
      <c r="AF114" s="6">
        <v>0.10505882352941176</v>
      </c>
      <c r="AG114" s="6">
        <v>6.3911764705882348E-2</v>
      </c>
      <c r="AH114" s="6">
        <v>0.7337058823529411</v>
      </c>
      <c r="AI114" s="6">
        <v>0.19058823529411761</v>
      </c>
      <c r="AJ114" s="6">
        <v>0.940735294117647</v>
      </c>
      <c r="AK114" s="4"/>
      <c r="AL114" s="4"/>
      <c r="AM114" s="4"/>
    </row>
    <row r="115" spans="1:39" x14ac:dyDescent="0.25">
      <c r="A115" s="11" t="s">
        <v>158</v>
      </c>
      <c r="B115" s="27" t="s">
        <v>501</v>
      </c>
      <c r="C115" s="8" t="s">
        <v>146</v>
      </c>
      <c r="D115" s="11" t="s">
        <v>159</v>
      </c>
      <c r="E115" s="11">
        <v>2</v>
      </c>
      <c r="F115" s="8" t="s">
        <v>13</v>
      </c>
      <c r="G115" s="8" t="s">
        <v>1012</v>
      </c>
      <c r="H115" s="5">
        <f t="shared" si="1"/>
        <v>83.77638235294117</v>
      </c>
      <c r="I115" s="12">
        <v>9.479411764705882E-2</v>
      </c>
      <c r="J115" s="12">
        <v>0.32923529411764701</v>
      </c>
      <c r="K115" s="12">
        <v>1.3744705882352941</v>
      </c>
      <c r="L115" s="6">
        <v>0</v>
      </c>
      <c r="M115" s="12">
        <v>0.20458823529411763</v>
      </c>
      <c r="N115" s="12">
        <v>21.179058823529409</v>
      </c>
      <c r="O115" s="12">
        <v>3.6058823529411761E-2</v>
      </c>
      <c r="P115" s="12">
        <v>8.4911764705882339E-2</v>
      </c>
      <c r="Q115" s="12">
        <v>3.1826470588235294</v>
      </c>
      <c r="R115" s="12">
        <v>0.24832352941176469</v>
      </c>
      <c r="S115" s="16">
        <v>8.5207647058823532</v>
      </c>
      <c r="T115" s="16">
        <v>0</v>
      </c>
      <c r="U115" s="16">
        <v>4.058823529411764E-3</v>
      </c>
      <c r="V115" s="12">
        <v>21.926941176470589</v>
      </c>
      <c r="W115" s="12">
        <v>2.0718529411764703</v>
      </c>
      <c r="X115" s="12">
        <v>16.741235294117647</v>
      </c>
      <c r="Y115" s="12">
        <v>7.3499999999999996E-2</v>
      </c>
      <c r="Z115" s="12">
        <v>0.77035294117647046</v>
      </c>
      <c r="AA115" s="12">
        <v>0.1701470588235294</v>
      </c>
      <c r="AB115" s="12">
        <v>0.34961764705882353</v>
      </c>
      <c r="AC115" s="12">
        <v>4.5851764705882347</v>
      </c>
      <c r="AD115" s="12">
        <v>2.561764705882353E-2</v>
      </c>
      <c r="AE115" s="12">
        <v>0.16488235294117645</v>
      </c>
      <c r="AF115" s="12">
        <v>8.9999999999999983E-2</v>
      </c>
      <c r="AG115" s="12">
        <v>6.8794117647058825E-2</v>
      </c>
      <c r="AH115" s="12">
        <v>0.57770588235294118</v>
      </c>
      <c r="AI115" s="12">
        <v>0.1396470588235294</v>
      </c>
      <c r="AJ115" s="12">
        <v>0.7619999999999999</v>
      </c>
      <c r="AK115" s="4"/>
      <c r="AL115" s="4"/>
      <c r="AM115" s="4"/>
    </row>
    <row r="116" spans="1:39" x14ac:dyDescent="0.25">
      <c r="A116" s="7" t="s">
        <v>160</v>
      </c>
      <c r="B116" s="27" t="s">
        <v>502</v>
      </c>
      <c r="C116" s="8" t="s">
        <v>146</v>
      </c>
      <c r="D116" s="7" t="s">
        <v>161</v>
      </c>
      <c r="E116" s="7">
        <v>6</v>
      </c>
      <c r="F116" s="8" t="s">
        <v>13</v>
      </c>
      <c r="G116" s="8" t="s">
        <v>1012</v>
      </c>
      <c r="H116" s="5">
        <f t="shared" si="1"/>
        <v>264.8843235294118</v>
      </c>
      <c r="I116" s="6">
        <v>0.13752941176470587</v>
      </c>
      <c r="J116" s="6">
        <v>0.59749999999999992</v>
      </c>
      <c r="K116" s="6">
        <v>3.5484999999999998</v>
      </c>
      <c r="L116" s="6">
        <v>0</v>
      </c>
      <c r="M116" s="6">
        <v>0.4284705882352941</v>
      </c>
      <c r="N116" s="6">
        <v>83.214941176470575</v>
      </c>
      <c r="O116" s="6">
        <v>9.5029411764705876E-2</v>
      </c>
      <c r="P116" s="6">
        <v>0.12849999999999998</v>
      </c>
      <c r="Q116" s="6">
        <v>8.2019117647058817</v>
      </c>
      <c r="R116" s="6">
        <v>0.62735294117647056</v>
      </c>
      <c r="S116" s="15">
        <v>55.094000000000001</v>
      </c>
      <c r="T116" s="15">
        <v>0</v>
      </c>
      <c r="U116" s="15">
        <v>0</v>
      </c>
      <c r="V116" s="3">
        <v>55.085588235294111</v>
      </c>
      <c r="W116" s="3">
        <v>4.6484999999999994</v>
      </c>
      <c r="X116" s="3">
        <v>36.676088235294117</v>
      </c>
      <c r="Y116" s="3">
        <v>0.11102941176470588</v>
      </c>
      <c r="Z116" s="3">
        <v>1.4254117647058824</v>
      </c>
      <c r="AA116" s="3">
        <v>0.78514705882352942</v>
      </c>
      <c r="AB116" s="3">
        <v>1.0258823529411765</v>
      </c>
      <c r="AC116" s="3">
        <v>8.9997647058823524</v>
      </c>
      <c r="AD116" s="3">
        <v>3.6705882352941172E-2</v>
      </c>
      <c r="AE116" s="3">
        <v>0.39417647058823524</v>
      </c>
      <c r="AF116" s="3">
        <v>0.1429705882352941</v>
      </c>
      <c r="AG116" s="3">
        <v>0.13555882352941176</v>
      </c>
      <c r="AH116" s="3">
        <v>1.2599705882352941</v>
      </c>
      <c r="AI116" s="3">
        <v>0.28247058823529408</v>
      </c>
      <c r="AJ116" s="3">
        <v>1.8013235294117647</v>
      </c>
    </row>
    <row r="117" spans="1:39" x14ac:dyDescent="0.25">
      <c r="A117" s="7" t="s">
        <v>162</v>
      </c>
      <c r="B117" s="27" t="s">
        <v>503</v>
      </c>
      <c r="C117" s="8" t="s">
        <v>146</v>
      </c>
      <c r="D117" s="7" t="s">
        <v>163</v>
      </c>
      <c r="E117" s="7">
        <v>6</v>
      </c>
      <c r="F117" s="8" t="s">
        <v>13</v>
      </c>
      <c r="G117" s="8" t="s">
        <v>1012</v>
      </c>
      <c r="H117" s="5">
        <f t="shared" si="1"/>
        <v>94.774941176470591</v>
      </c>
      <c r="I117" s="6">
        <v>8.2735294117647046E-2</v>
      </c>
      <c r="J117" s="6">
        <v>0.43747058823529411</v>
      </c>
      <c r="K117" s="6">
        <v>1.7084999999999999</v>
      </c>
      <c r="L117" s="6">
        <v>0</v>
      </c>
      <c r="M117" s="6">
        <v>0.29544117647058821</v>
      </c>
      <c r="N117" s="6">
        <v>24.564205882352937</v>
      </c>
      <c r="O117" s="6">
        <v>0</v>
      </c>
      <c r="P117" s="6">
        <v>0.12147058823529412</v>
      </c>
      <c r="Q117" s="6">
        <v>3.2931176470588235</v>
      </c>
      <c r="R117" s="6">
        <v>0.27464705882352941</v>
      </c>
      <c r="S117" s="15">
        <v>11.643000000000001</v>
      </c>
      <c r="T117" s="15">
        <v>0</v>
      </c>
      <c r="U117" s="15">
        <v>0</v>
      </c>
      <c r="V117" s="6">
        <v>22.551764705882352</v>
      </c>
      <c r="W117" s="6">
        <v>2.4714117647058824</v>
      </c>
      <c r="X117" s="6">
        <v>15.398147058823527</v>
      </c>
      <c r="Y117" s="6">
        <v>9.217647058823529E-2</v>
      </c>
      <c r="Z117" s="6">
        <v>0.53799999999999992</v>
      </c>
      <c r="AA117" s="6">
        <v>0.29558823529411765</v>
      </c>
      <c r="AB117" s="6">
        <v>0.38811764705882346</v>
      </c>
      <c r="AC117" s="6">
        <v>7.0670882352941176</v>
      </c>
      <c r="AD117" s="6">
        <v>4.5411764705882353E-2</v>
      </c>
      <c r="AE117" s="6">
        <v>0.29117647058823526</v>
      </c>
      <c r="AF117" s="6">
        <v>0.11326470588235293</v>
      </c>
      <c r="AG117" s="6">
        <v>0.123</v>
      </c>
      <c r="AH117" s="6">
        <v>1.1190588235294117</v>
      </c>
      <c r="AI117" s="6">
        <v>0.28161764705882353</v>
      </c>
      <c r="AJ117" s="6">
        <v>1.5785294117647055</v>
      </c>
    </row>
    <row r="118" spans="1:39" x14ac:dyDescent="0.25">
      <c r="A118" s="7" t="s">
        <v>164</v>
      </c>
      <c r="B118" s="27" t="s">
        <v>504</v>
      </c>
      <c r="C118" s="8" t="s">
        <v>146</v>
      </c>
      <c r="D118" s="7" t="s">
        <v>165</v>
      </c>
      <c r="E118" s="7">
        <v>6</v>
      </c>
      <c r="F118" s="8" t="s">
        <v>13</v>
      </c>
      <c r="G118" s="8" t="s">
        <v>1012</v>
      </c>
      <c r="H118" s="5">
        <f t="shared" si="1"/>
        <v>105.92041176470585</v>
      </c>
      <c r="I118" s="6">
        <v>6.6617647058823518E-2</v>
      </c>
      <c r="J118" s="6">
        <v>0.4199705882352941</v>
      </c>
      <c r="K118" s="6">
        <v>1.6284999999999998</v>
      </c>
      <c r="L118" s="6">
        <v>0</v>
      </c>
      <c r="M118" s="6">
        <v>0.26282352941176468</v>
      </c>
      <c r="N118" s="6">
        <v>26.51179411764706</v>
      </c>
      <c r="O118" s="6">
        <v>0</v>
      </c>
      <c r="P118" s="6">
        <v>1.817647058823529E-2</v>
      </c>
      <c r="Q118" s="6">
        <v>4.5070882352941171</v>
      </c>
      <c r="R118" s="6">
        <v>0.29544117647058821</v>
      </c>
      <c r="S118" s="15">
        <v>12.169</v>
      </c>
      <c r="T118" s="15">
        <v>0</v>
      </c>
      <c r="U118" s="15">
        <v>0</v>
      </c>
      <c r="V118" s="6">
        <v>26.991088235294118</v>
      </c>
      <c r="W118" s="6">
        <v>2.919382352941176</v>
      </c>
      <c r="X118" s="6">
        <v>17.462970588235294</v>
      </c>
      <c r="Y118" s="6">
        <v>0.13426470588235295</v>
      </c>
      <c r="Z118" s="6">
        <v>0.63270588235294112</v>
      </c>
      <c r="AA118" s="6">
        <v>0.32405882352941173</v>
      </c>
      <c r="AB118" s="6">
        <v>0.4070588235294117</v>
      </c>
      <c r="AC118" s="6">
        <v>7.6131764705882352</v>
      </c>
      <c r="AD118" s="6">
        <v>6.1852941176470583E-2</v>
      </c>
      <c r="AE118" s="6">
        <v>0.30688235294117644</v>
      </c>
      <c r="AF118" s="6">
        <v>0.13458823529411765</v>
      </c>
      <c r="AG118" s="6">
        <v>0.11323529411764705</v>
      </c>
      <c r="AH118" s="6">
        <v>1.0546764705882352</v>
      </c>
      <c r="AI118" s="6">
        <v>0.30664705882352938</v>
      </c>
      <c r="AJ118" s="6">
        <v>1.5784117647058824</v>
      </c>
    </row>
    <row r="119" spans="1:39" x14ac:dyDescent="0.25">
      <c r="A119" s="8" t="s">
        <v>166</v>
      </c>
      <c r="B119" s="27" t="s">
        <v>505</v>
      </c>
      <c r="C119" s="8" t="s">
        <v>146</v>
      </c>
      <c r="D119" s="8" t="s">
        <v>167</v>
      </c>
      <c r="E119" s="8">
        <v>6</v>
      </c>
      <c r="F119" s="8" t="s">
        <v>13</v>
      </c>
      <c r="G119" s="8" t="s">
        <v>1012</v>
      </c>
      <c r="H119" s="5">
        <f t="shared" si="1"/>
        <v>100.42676470588235</v>
      </c>
      <c r="I119" s="6">
        <v>9.4E-2</v>
      </c>
      <c r="J119" s="6">
        <v>0.35379411764705876</v>
      </c>
      <c r="K119" s="6">
        <v>1.896441176470588</v>
      </c>
      <c r="L119" s="6">
        <v>0</v>
      </c>
      <c r="M119" s="6">
        <v>0.25897058823529412</v>
      </c>
      <c r="N119" s="6">
        <v>26.623382352941174</v>
      </c>
      <c r="O119" s="6">
        <v>1.9352941176470587E-2</v>
      </c>
      <c r="P119" s="6">
        <v>2.4794117647058821E-2</v>
      </c>
      <c r="Q119" s="6">
        <v>4.578294117647058</v>
      </c>
      <c r="R119" s="6">
        <v>0.28570588235294114</v>
      </c>
      <c r="S119" s="16">
        <v>9.1539117647058816</v>
      </c>
      <c r="T119" s="16">
        <v>0</v>
      </c>
      <c r="U119" s="16">
        <v>6.1470588235294108E-3</v>
      </c>
      <c r="V119" s="6">
        <v>26.760999999999996</v>
      </c>
      <c r="W119" s="6">
        <v>2.5877647058823525</v>
      </c>
      <c r="X119" s="6">
        <v>20.503294117647059</v>
      </c>
      <c r="Y119" s="6">
        <v>0.10676470588235293</v>
      </c>
      <c r="Z119" s="6">
        <v>1.0767058823529412</v>
      </c>
      <c r="AA119" s="6">
        <v>0.1749705882352941</v>
      </c>
      <c r="AB119" s="6">
        <v>0.47123529411764703</v>
      </c>
      <c r="AC119" s="6">
        <v>3.9582352941176469</v>
      </c>
      <c r="AD119" s="6">
        <v>3.638235294117647E-2</v>
      </c>
      <c r="AE119" s="6">
        <v>0.14299999999999999</v>
      </c>
      <c r="AF119" s="6">
        <v>9.3970588235294111E-2</v>
      </c>
      <c r="AG119" s="6">
        <v>6.329411764705882E-2</v>
      </c>
      <c r="AH119" s="6">
        <v>0.4205882352941176</v>
      </c>
      <c r="AI119" s="6">
        <v>0.11852941176470588</v>
      </c>
      <c r="AJ119" s="6">
        <v>0.61623529411764699</v>
      </c>
    </row>
    <row r="120" spans="1:39" x14ac:dyDescent="0.25">
      <c r="A120" s="8" t="s">
        <v>168</v>
      </c>
      <c r="B120" s="27" t="s">
        <v>506</v>
      </c>
      <c r="C120" s="8" t="s">
        <v>146</v>
      </c>
      <c r="D120" s="8" t="s">
        <v>169</v>
      </c>
      <c r="E120" s="8">
        <v>6</v>
      </c>
      <c r="F120" s="8" t="s">
        <v>13</v>
      </c>
      <c r="G120" s="8" t="s">
        <v>1012</v>
      </c>
      <c r="H120" s="5">
        <f t="shared" si="1"/>
        <v>35.878205882352937</v>
      </c>
      <c r="I120" s="6">
        <v>6.7558823529411768E-2</v>
      </c>
      <c r="J120" s="6">
        <v>0.34364705882352936</v>
      </c>
      <c r="K120" s="6">
        <v>0.62829411764705878</v>
      </c>
      <c r="L120" s="6">
        <v>0</v>
      </c>
      <c r="M120" s="6">
        <v>0.19355882352941173</v>
      </c>
      <c r="N120" s="6">
        <v>9.1590882352941172</v>
      </c>
      <c r="O120" s="6">
        <v>0</v>
      </c>
      <c r="P120" s="6">
        <v>0</v>
      </c>
      <c r="Q120" s="6">
        <v>1.4605294117647059</v>
      </c>
      <c r="R120" s="6">
        <v>0.1575</v>
      </c>
      <c r="S120" s="16">
        <v>5.2647941176470585</v>
      </c>
      <c r="T120" s="16">
        <v>0</v>
      </c>
      <c r="U120" s="16">
        <v>0</v>
      </c>
      <c r="V120" s="6">
        <v>6.4389705882352937</v>
      </c>
      <c r="W120" s="6">
        <v>1.2842941176470588</v>
      </c>
      <c r="X120" s="6">
        <v>4.798970588235294</v>
      </c>
      <c r="Y120" s="6">
        <v>6.6264705882352934E-2</v>
      </c>
      <c r="Z120" s="6">
        <v>0.15976470588235292</v>
      </c>
      <c r="AA120" s="6">
        <v>0.1409705882352941</v>
      </c>
      <c r="AB120" s="6">
        <v>0.11520588235294117</v>
      </c>
      <c r="AC120" s="6">
        <v>3.8719999999999999</v>
      </c>
      <c r="AD120" s="6">
        <v>3.8382352941176472E-2</v>
      </c>
      <c r="AE120" s="6">
        <v>0.15291176470588236</v>
      </c>
      <c r="AF120" s="6">
        <v>6.9411764705882339E-2</v>
      </c>
      <c r="AG120" s="6">
        <v>4.9617647058823523E-2</v>
      </c>
      <c r="AH120" s="6">
        <v>0.53117647058823525</v>
      </c>
      <c r="AI120" s="6">
        <v>0.14105882352941176</v>
      </c>
      <c r="AJ120" s="6">
        <v>0.74423529411764699</v>
      </c>
    </row>
    <row r="121" spans="1:39" x14ac:dyDescent="0.25">
      <c r="A121" s="7" t="s">
        <v>170</v>
      </c>
      <c r="B121" s="27" t="s">
        <v>507</v>
      </c>
      <c r="C121" s="8" t="s">
        <v>146</v>
      </c>
      <c r="D121" s="7" t="s">
        <v>141</v>
      </c>
      <c r="E121" s="7">
        <v>0</v>
      </c>
      <c r="F121" s="7" t="s">
        <v>14</v>
      </c>
      <c r="G121" s="8" t="s">
        <v>1012</v>
      </c>
      <c r="H121" s="5">
        <f t="shared" si="1"/>
        <v>53.177529411764695</v>
      </c>
      <c r="I121" s="6">
        <v>6.5500000000000003E-2</v>
      </c>
      <c r="J121" s="6">
        <v>0.32047058823529412</v>
      </c>
      <c r="K121" s="6">
        <v>0.29688235294117643</v>
      </c>
      <c r="L121" s="6">
        <v>0</v>
      </c>
      <c r="M121" s="6">
        <v>0.1116470588235294</v>
      </c>
      <c r="N121" s="6">
        <v>11.21970588235294</v>
      </c>
      <c r="O121" s="6">
        <v>0</v>
      </c>
      <c r="P121" s="6">
        <v>0</v>
      </c>
      <c r="Q121" s="6">
        <v>0.20044117647058823</v>
      </c>
      <c r="R121" s="6">
        <v>0.2492941176470588</v>
      </c>
      <c r="S121" s="15">
        <v>10.436</v>
      </c>
      <c r="T121" s="15">
        <v>0</v>
      </c>
      <c r="U121" s="15">
        <v>0</v>
      </c>
      <c r="V121" s="6">
        <v>3.8919705882352935</v>
      </c>
      <c r="W121" s="6">
        <v>0.69602941176470579</v>
      </c>
      <c r="X121" s="6">
        <v>16.455411764705879</v>
      </c>
      <c r="Y121" s="6">
        <v>6.023529411764706E-2</v>
      </c>
      <c r="Z121" s="6">
        <v>0.38723529411764701</v>
      </c>
      <c r="AA121" s="6">
        <v>0.16497058823529412</v>
      </c>
      <c r="AB121" s="6">
        <v>0.35955882352941171</v>
      </c>
      <c r="AC121" s="6">
        <v>6.2326470588235292</v>
      </c>
      <c r="AD121" s="6">
        <v>2.4117647058823528E-3</v>
      </c>
      <c r="AE121" s="6">
        <v>0.13938235294117646</v>
      </c>
      <c r="AF121" s="6">
        <v>9.320588235294118E-2</v>
      </c>
      <c r="AG121" s="6">
        <v>5.973529411764706E-2</v>
      </c>
      <c r="AH121" s="6">
        <v>0.32914705882352935</v>
      </c>
      <c r="AI121" s="6">
        <v>9.8088235294117629E-2</v>
      </c>
      <c r="AJ121" s="6">
        <v>1.3075588235294118</v>
      </c>
    </row>
    <row r="122" spans="1:39" x14ac:dyDescent="0.25">
      <c r="A122" s="7" t="s">
        <v>171</v>
      </c>
      <c r="B122" s="27" t="s">
        <v>508</v>
      </c>
      <c r="C122" s="8" t="s">
        <v>146</v>
      </c>
      <c r="D122" s="7" t="s">
        <v>143</v>
      </c>
      <c r="E122" s="7">
        <v>1</v>
      </c>
      <c r="F122" s="7" t="s">
        <v>14</v>
      </c>
      <c r="G122" s="8" t="s">
        <v>1012</v>
      </c>
      <c r="H122" s="5">
        <f t="shared" si="1"/>
        <v>83.905529411764704</v>
      </c>
      <c r="I122" s="6">
        <v>4.2617647058823524E-2</v>
      </c>
      <c r="J122" s="6">
        <v>0.2132941176470588</v>
      </c>
      <c r="K122" s="6">
        <v>0.21811764705882353</v>
      </c>
      <c r="L122" s="6">
        <v>0</v>
      </c>
      <c r="M122" s="6">
        <v>7.7558823529411763E-2</v>
      </c>
      <c r="N122" s="6">
        <v>13.742117647058823</v>
      </c>
      <c r="O122" s="6">
        <v>0.97547058823529409</v>
      </c>
      <c r="P122" s="6">
        <v>1.5319999999999998</v>
      </c>
      <c r="Q122" s="6">
        <v>0.56770588235294117</v>
      </c>
      <c r="R122" s="6">
        <v>0.20047058823529409</v>
      </c>
      <c r="S122" s="15">
        <v>9.8729999999999993</v>
      </c>
      <c r="T122" s="15">
        <v>0.02</v>
      </c>
      <c r="U122" s="15">
        <v>0</v>
      </c>
      <c r="V122" s="6">
        <v>32.282999999999994</v>
      </c>
      <c r="W122" s="6">
        <v>1.5649411764705881</v>
      </c>
      <c r="X122" s="6">
        <v>14.03126470588235</v>
      </c>
      <c r="Y122" s="6">
        <v>8.0323529411764696E-2</v>
      </c>
      <c r="Z122" s="6">
        <v>0.41155882352941175</v>
      </c>
      <c r="AA122" s="6">
        <v>0.31120588235294117</v>
      </c>
      <c r="AB122" s="6">
        <v>0.31679411764705878</v>
      </c>
      <c r="AC122" s="6">
        <v>5.3566176470588234</v>
      </c>
      <c r="AD122" s="6">
        <v>6.0000000000000001E-3</v>
      </c>
      <c r="AE122" s="6">
        <v>0.16817647058823529</v>
      </c>
      <c r="AF122" s="6">
        <v>9.3117647058823527E-2</v>
      </c>
      <c r="AG122" s="6">
        <v>3.3529411764705884E-2</v>
      </c>
      <c r="AH122" s="6">
        <v>0.32632352941176468</v>
      </c>
      <c r="AI122" s="6">
        <v>7.1588235294117647E-2</v>
      </c>
      <c r="AJ122" s="6">
        <v>1.388735294117647</v>
      </c>
    </row>
    <row r="123" spans="1:39" x14ac:dyDescent="0.25">
      <c r="A123" s="7" t="s">
        <v>172</v>
      </c>
      <c r="B123" s="27" t="s">
        <v>509</v>
      </c>
      <c r="C123" s="8" t="s">
        <v>146</v>
      </c>
      <c r="D123" s="7" t="s">
        <v>145</v>
      </c>
      <c r="E123" s="7">
        <v>1</v>
      </c>
      <c r="F123" s="7" t="s">
        <v>14</v>
      </c>
      <c r="G123" s="8" t="s">
        <v>1012</v>
      </c>
      <c r="H123" s="5">
        <f t="shared" si="1"/>
        <v>149.44505882352937</v>
      </c>
      <c r="I123" s="6">
        <v>6.388235294117646E-2</v>
      </c>
      <c r="J123" s="6">
        <v>0.26882352941176468</v>
      </c>
      <c r="K123" s="6">
        <v>0.24067647058823527</v>
      </c>
      <c r="L123" s="6">
        <v>0</v>
      </c>
      <c r="M123" s="6">
        <v>0.13405882352941176</v>
      </c>
      <c r="N123" s="6">
        <v>20.776911764705879</v>
      </c>
      <c r="O123" s="6">
        <v>2.3498235294117644</v>
      </c>
      <c r="P123" s="6">
        <v>4.0656764705882349</v>
      </c>
      <c r="Q123" s="6">
        <v>1.1215588235294116</v>
      </c>
      <c r="R123" s="6">
        <v>0.26894117647058818</v>
      </c>
      <c r="S123" s="15">
        <v>11.648999999999999</v>
      </c>
      <c r="T123" s="15">
        <v>0</v>
      </c>
      <c r="U123" s="15">
        <v>0</v>
      </c>
      <c r="V123" s="6">
        <v>75.650941176470582</v>
      </c>
      <c r="W123" s="6">
        <v>3.3089999999999997</v>
      </c>
      <c r="X123" s="6">
        <v>19.175558823529411</v>
      </c>
      <c r="Y123" s="6">
        <v>6.9264705882352937E-2</v>
      </c>
      <c r="Z123" s="6">
        <v>0.83467647058823524</v>
      </c>
      <c r="AA123" s="6">
        <v>0.40282352941176469</v>
      </c>
      <c r="AB123" s="6">
        <v>0.35764705882352937</v>
      </c>
      <c r="AC123" s="6">
        <v>6.5800882352941166</v>
      </c>
      <c r="AD123" s="6">
        <v>5.5588235294117645E-3</v>
      </c>
      <c r="AE123" s="6">
        <v>0.1903235294117647</v>
      </c>
      <c r="AF123" s="6">
        <v>9.5735294117647057E-2</v>
      </c>
      <c r="AG123" s="6">
        <v>3.717647058823529E-2</v>
      </c>
      <c r="AH123" s="6">
        <v>0.3366764705882353</v>
      </c>
      <c r="AI123" s="6">
        <v>7.4676470588235289E-2</v>
      </c>
      <c r="AJ123" s="6">
        <v>1.3855588235294116</v>
      </c>
    </row>
    <row r="124" spans="1:39" x14ac:dyDescent="0.25">
      <c r="A124" s="8" t="s">
        <v>173</v>
      </c>
      <c r="B124" s="27" t="s">
        <v>510</v>
      </c>
      <c r="C124" s="8" t="s">
        <v>146</v>
      </c>
      <c r="D124" s="8" t="s">
        <v>146</v>
      </c>
      <c r="E124" s="8">
        <v>1</v>
      </c>
      <c r="F124" s="8" t="s">
        <v>14</v>
      </c>
      <c r="G124" s="8" t="s">
        <v>1012</v>
      </c>
      <c r="H124" s="5">
        <f t="shared" si="1"/>
        <v>180.0276764705882</v>
      </c>
      <c r="I124" s="6">
        <v>0.24664705882352941</v>
      </c>
      <c r="J124" s="6">
        <v>0.84667647058823525</v>
      </c>
      <c r="K124" s="6">
        <v>0.82117647058823529</v>
      </c>
      <c r="L124" s="6">
        <v>0</v>
      </c>
      <c r="M124" s="6">
        <v>0.30752941176470588</v>
      </c>
      <c r="N124" s="6">
        <v>34.27432352941176</v>
      </c>
      <c r="O124" s="6">
        <v>1.1809705882352941</v>
      </c>
      <c r="P124" s="6">
        <v>1.6491470588235293</v>
      </c>
      <c r="Q124" s="6">
        <v>0.84852941176470575</v>
      </c>
      <c r="R124" s="6">
        <v>0.74405882352941166</v>
      </c>
      <c r="S124" s="16">
        <v>28.152823529411766</v>
      </c>
      <c r="T124" s="16">
        <v>4.008823529411764E-2</v>
      </c>
      <c r="U124" s="16">
        <v>4.7235294117647056E-2</v>
      </c>
      <c r="V124" s="6">
        <v>41.280441176470582</v>
      </c>
      <c r="W124" s="6">
        <v>2.7975588235294113</v>
      </c>
      <c r="X124" s="6">
        <v>47.107235294117636</v>
      </c>
      <c r="Y124" s="6">
        <v>0.20117647058823529</v>
      </c>
      <c r="Z124" s="6">
        <v>1.7835588235294115</v>
      </c>
      <c r="AA124" s="6">
        <v>0.6375294117647059</v>
      </c>
      <c r="AB124" s="6">
        <v>1.3704117647058822</v>
      </c>
      <c r="AC124" s="6">
        <v>11.485382352941176</v>
      </c>
      <c r="AD124" s="6">
        <v>3.2352941176470585E-4</v>
      </c>
      <c r="AE124" s="6">
        <v>0.37379411764705883</v>
      </c>
      <c r="AF124" s="6">
        <v>0.24126470588235294</v>
      </c>
      <c r="AG124" s="6">
        <v>0.14882352941176469</v>
      </c>
      <c r="AH124" s="6">
        <v>0.7772941176470588</v>
      </c>
      <c r="AI124" s="6">
        <v>0.19820588235294118</v>
      </c>
      <c r="AJ124" s="6">
        <v>2.4654705882352941</v>
      </c>
    </row>
    <row r="125" spans="1:39" x14ac:dyDescent="0.25">
      <c r="A125" s="8" t="s">
        <v>174</v>
      </c>
      <c r="B125" s="27" t="s">
        <v>511</v>
      </c>
      <c r="C125" s="8" t="s">
        <v>146</v>
      </c>
      <c r="D125" s="8" t="s">
        <v>149</v>
      </c>
      <c r="E125" s="8">
        <v>1</v>
      </c>
      <c r="F125" s="8" t="s">
        <v>14</v>
      </c>
      <c r="G125" s="8" t="s">
        <v>1012</v>
      </c>
      <c r="H125" s="5">
        <f t="shared" si="1"/>
        <v>281.85582352941174</v>
      </c>
      <c r="I125" s="6">
        <v>0.14814705882352938</v>
      </c>
      <c r="J125" s="6">
        <v>0.59826470588235292</v>
      </c>
      <c r="K125" s="6">
        <v>0.5404411764705882</v>
      </c>
      <c r="L125" s="6">
        <v>0</v>
      </c>
      <c r="M125" s="6">
        <v>0.27188235294117641</v>
      </c>
      <c r="N125" s="6">
        <v>44.07314705882353</v>
      </c>
      <c r="O125" s="6">
        <v>4.4803235294117645</v>
      </c>
      <c r="P125" s="6">
        <v>5.1246176470588232</v>
      </c>
      <c r="Q125" s="6">
        <v>1.9734117647058822</v>
      </c>
      <c r="R125" s="6">
        <v>0.60070588235294109</v>
      </c>
      <c r="S125" s="16">
        <v>27.141411764705882</v>
      </c>
      <c r="T125" s="16">
        <v>2.3323529411764701E-2</v>
      </c>
      <c r="U125" s="16">
        <v>2.4205882352941174E-2</v>
      </c>
      <c r="V125" s="6">
        <v>130.9485588235294</v>
      </c>
      <c r="W125" s="6">
        <v>5.5564411764705879</v>
      </c>
      <c r="X125" s="6">
        <v>39.759117647058822</v>
      </c>
      <c r="Y125" s="6">
        <v>0.14773529411764705</v>
      </c>
      <c r="Z125" s="6">
        <v>1.5636764705882351</v>
      </c>
      <c r="AA125" s="6">
        <v>0.78047058823529403</v>
      </c>
      <c r="AB125" s="6">
        <v>0.58267647058823524</v>
      </c>
      <c r="AC125" s="6">
        <v>13.448176470588233</v>
      </c>
      <c r="AD125" s="6">
        <v>1.891176470588235E-2</v>
      </c>
      <c r="AE125" s="6">
        <v>0.39405882352941168</v>
      </c>
      <c r="AF125" s="6">
        <v>0.19073529411764706</v>
      </c>
      <c r="AG125" s="6">
        <v>5.9323529411764706E-2</v>
      </c>
      <c r="AH125" s="6">
        <v>0.80388235294117638</v>
      </c>
      <c r="AI125" s="6">
        <v>0.17691176470588235</v>
      </c>
      <c r="AJ125" s="6">
        <v>2.4252647058823529</v>
      </c>
    </row>
    <row r="126" spans="1:39" x14ac:dyDescent="0.25">
      <c r="A126" s="7" t="s">
        <v>175</v>
      </c>
      <c r="B126" s="27" t="s">
        <v>512</v>
      </c>
      <c r="C126" s="8" t="s">
        <v>146</v>
      </c>
      <c r="D126" s="7" t="s">
        <v>151</v>
      </c>
      <c r="E126" s="7">
        <v>2</v>
      </c>
      <c r="F126" s="8" t="s">
        <v>14</v>
      </c>
      <c r="G126" s="8" t="s">
        <v>1012</v>
      </c>
      <c r="H126" s="5">
        <f t="shared" si="1"/>
        <v>72.326117647058851</v>
      </c>
      <c r="I126" s="6">
        <v>6.0617647058823526E-2</v>
      </c>
      <c r="J126" s="6">
        <v>0.23979411764705882</v>
      </c>
      <c r="K126" s="6">
        <v>0.19555882352941173</v>
      </c>
      <c r="L126" s="6">
        <v>0</v>
      </c>
      <c r="M126" s="6">
        <v>7.647058823529411E-2</v>
      </c>
      <c r="N126" s="6">
        <v>13.213529411764705</v>
      </c>
      <c r="O126" s="6">
        <v>0.8268823529411764</v>
      </c>
      <c r="P126" s="6">
        <v>0.51652941176470579</v>
      </c>
      <c r="Q126" s="6">
        <v>0.35455882352941176</v>
      </c>
      <c r="R126" s="6">
        <v>0.15261764705882352</v>
      </c>
      <c r="S126" s="15">
        <v>8.9320000000000004</v>
      </c>
      <c r="T126" s="15">
        <v>2.4E-2</v>
      </c>
      <c r="U126" s="15">
        <v>0</v>
      </c>
      <c r="V126" s="6">
        <v>20.058882352941175</v>
      </c>
      <c r="W126" s="6">
        <v>1.2250882352941175</v>
      </c>
      <c r="X126" s="6">
        <v>17.084235294117644</v>
      </c>
      <c r="Y126" s="6">
        <v>7.0617647058823521E-2</v>
      </c>
      <c r="Z126" s="6">
        <v>0.77861764705882353</v>
      </c>
      <c r="AA126" s="6">
        <v>0.20747058823529413</v>
      </c>
      <c r="AB126" s="6">
        <v>0.31305882352941178</v>
      </c>
      <c r="AC126" s="6">
        <v>5.8104999999999993</v>
      </c>
      <c r="AD126" s="6">
        <v>4.5882352941176464E-3</v>
      </c>
      <c r="AE126" s="6">
        <v>0.15897058823529411</v>
      </c>
      <c r="AF126" s="6">
        <v>7.7911764705882347E-2</v>
      </c>
      <c r="AG126" s="6">
        <v>3.7058823529411762E-2</v>
      </c>
      <c r="AH126" s="6">
        <v>0.32602941176470585</v>
      </c>
      <c r="AI126" s="6">
        <v>8.061764705882353E-2</v>
      </c>
      <c r="AJ126" s="6">
        <v>1.4999117647058824</v>
      </c>
    </row>
    <row r="127" spans="1:39" x14ac:dyDescent="0.25">
      <c r="A127" s="7" t="s">
        <v>176</v>
      </c>
      <c r="B127" s="27" t="s">
        <v>513</v>
      </c>
      <c r="C127" s="8" t="s">
        <v>146</v>
      </c>
      <c r="D127" s="7" t="s">
        <v>153</v>
      </c>
      <c r="E127" s="7">
        <v>2</v>
      </c>
      <c r="F127" s="8" t="s">
        <v>14</v>
      </c>
      <c r="G127" s="8" t="s">
        <v>1012</v>
      </c>
      <c r="H127" s="5">
        <f t="shared" si="1"/>
        <v>82.538558823529399</v>
      </c>
      <c r="I127" s="6">
        <v>5.805882352941176E-2</v>
      </c>
      <c r="J127" s="6">
        <v>0.27805882352941175</v>
      </c>
      <c r="K127" s="6">
        <v>0.23841176470588232</v>
      </c>
      <c r="L127" s="6">
        <v>0</v>
      </c>
      <c r="M127" s="6">
        <v>9.4499999999999987E-2</v>
      </c>
      <c r="N127" s="6">
        <v>13.521088235294117</v>
      </c>
      <c r="O127" s="6">
        <v>0.89011764705882357</v>
      </c>
      <c r="P127" s="6">
        <v>0.86841176470588233</v>
      </c>
      <c r="Q127" s="6">
        <v>0.45420588235294118</v>
      </c>
      <c r="R127" s="6">
        <v>0.18979411764705881</v>
      </c>
      <c r="S127" s="15">
        <v>10.125999999999999</v>
      </c>
      <c r="T127" s="15">
        <v>3.2000000000000001E-2</v>
      </c>
      <c r="U127" s="15">
        <v>0</v>
      </c>
      <c r="V127" s="6">
        <v>29.992441176470589</v>
      </c>
      <c r="W127" s="6">
        <v>1.6755882352941174</v>
      </c>
      <c r="X127" s="6">
        <v>14.494323529411764</v>
      </c>
      <c r="Y127" s="6">
        <v>6.2441176470588229E-2</v>
      </c>
      <c r="Z127" s="6">
        <v>0.5295294117647058</v>
      </c>
      <c r="AA127" s="6">
        <v>0.25785294117647056</v>
      </c>
      <c r="AB127" s="6">
        <v>0.33144117647058818</v>
      </c>
      <c r="AC127" s="6">
        <v>6.1801764705882345</v>
      </c>
      <c r="AD127" s="6">
        <v>2.676470588235294E-3</v>
      </c>
      <c r="AE127" s="6">
        <v>0.17182352941176468</v>
      </c>
      <c r="AF127" s="6">
        <v>8.6088235294117646E-2</v>
      </c>
      <c r="AG127" s="6">
        <v>4.4705882352941172E-2</v>
      </c>
      <c r="AH127" s="6">
        <v>0.46841176470588236</v>
      </c>
      <c r="AI127" s="6">
        <v>0.10623529411764705</v>
      </c>
      <c r="AJ127" s="6">
        <v>1.3841764705882351</v>
      </c>
    </row>
    <row r="128" spans="1:39" x14ac:dyDescent="0.25">
      <c r="A128" s="7" t="s">
        <v>177</v>
      </c>
      <c r="B128" s="27" t="s">
        <v>514</v>
      </c>
      <c r="C128" s="8" t="s">
        <v>146</v>
      </c>
      <c r="D128" s="7" t="s">
        <v>155</v>
      </c>
      <c r="E128" s="7">
        <v>2</v>
      </c>
      <c r="F128" s="8" t="s">
        <v>14</v>
      </c>
      <c r="G128" s="8" t="s">
        <v>1012</v>
      </c>
      <c r="H128" s="5">
        <f t="shared" si="1"/>
        <v>57.68044117647058</v>
      </c>
      <c r="I128" s="6">
        <v>4.8205882352941168E-2</v>
      </c>
      <c r="J128" s="6">
        <v>0.19373529411764703</v>
      </c>
      <c r="K128" s="6">
        <v>0.18405882352941175</v>
      </c>
      <c r="L128" s="6">
        <v>0</v>
      </c>
      <c r="M128" s="6">
        <v>5.5235294117647056E-2</v>
      </c>
      <c r="N128" s="6">
        <v>9.4038823529411761</v>
      </c>
      <c r="O128" s="6">
        <v>0.49955882352941172</v>
      </c>
      <c r="P128" s="6">
        <v>0.53741176470588226</v>
      </c>
      <c r="Q128" s="6">
        <v>0.37323529411764705</v>
      </c>
      <c r="R128" s="6">
        <v>0.12952941176470589</v>
      </c>
      <c r="S128" s="15">
        <v>7.1920000000000002</v>
      </c>
      <c r="T128" s="15">
        <v>1.6E-2</v>
      </c>
      <c r="U128" s="15">
        <v>0</v>
      </c>
      <c r="V128" s="6">
        <v>22.644617647058819</v>
      </c>
      <c r="W128" s="6">
        <v>1.374705882352941</v>
      </c>
      <c r="X128" s="6">
        <v>8.25720588235294</v>
      </c>
      <c r="Y128" s="6">
        <v>4.6058823529411763E-2</v>
      </c>
      <c r="Z128" s="6">
        <v>0.26282352941176468</v>
      </c>
      <c r="AA128" s="6">
        <v>0.19155882352941173</v>
      </c>
      <c r="AB128" s="6">
        <v>0.15126470588235291</v>
      </c>
      <c r="AC128" s="6">
        <v>4.5515882352941173</v>
      </c>
      <c r="AD128" s="6">
        <v>2.529411764705882E-3</v>
      </c>
      <c r="AE128" s="6">
        <v>0.11682352941176469</v>
      </c>
      <c r="AF128" s="6">
        <v>6.8294117647058825E-2</v>
      </c>
      <c r="AG128" s="6">
        <v>2.9499999999999998E-2</v>
      </c>
      <c r="AH128" s="6">
        <v>0.31776470588235289</v>
      </c>
      <c r="AI128" s="6">
        <v>8.5235294117647048E-2</v>
      </c>
      <c r="AJ128" s="6">
        <v>0.94761764705882334</v>
      </c>
    </row>
    <row r="129" spans="1:36" x14ac:dyDescent="0.25">
      <c r="A129" s="8" t="s">
        <v>178</v>
      </c>
      <c r="B129" s="27" t="s">
        <v>515</v>
      </c>
      <c r="C129" s="8" t="s">
        <v>146</v>
      </c>
      <c r="D129" s="8" t="s">
        <v>157</v>
      </c>
      <c r="E129" s="8">
        <v>2</v>
      </c>
      <c r="F129" s="8" t="s">
        <v>14</v>
      </c>
      <c r="G129" s="8" t="s">
        <v>1012</v>
      </c>
      <c r="H129" s="5">
        <f t="shared" si="1"/>
        <v>146.92094117647062</v>
      </c>
      <c r="I129" s="6">
        <v>0.16858823529411765</v>
      </c>
      <c r="J129" s="6">
        <v>0.81670588235294106</v>
      </c>
      <c r="K129" s="6">
        <v>0.50844117647058817</v>
      </c>
      <c r="L129" s="6">
        <v>0</v>
      </c>
      <c r="M129" s="6">
        <v>0.23323529411764704</v>
      </c>
      <c r="N129" s="6">
        <v>30.098176470588236</v>
      </c>
      <c r="O129" s="6">
        <v>1.575470588235294</v>
      </c>
      <c r="P129" s="6">
        <v>0.95232352941176468</v>
      </c>
      <c r="Q129" s="6">
        <v>0.74255882352941183</v>
      </c>
      <c r="R129" s="6">
        <v>0.5111470588235294</v>
      </c>
      <c r="S129" s="16">
        <v>23.693882352941177</v>
      </c>
      <c r="T129" s="16">
        <v>5.6647058823529405E-2</v>
      </c>
      <c r="U129" s="16">
        <v>2.9235294117647054E-2</v>
      </c>
      <c r="V129" s="6">
        <v>31.501499999999997</v>
      </c>
      <c r="W129" s="6">
        <v>2.3155882352941175</v>
      </c>
      <c r="X129" s="6">
        <v>33.427852941176468</v>
      </c>
      <c r="Y129" s="6">
        <v>0.16899999999999998</v>
      </c>
      <c r="Z129" s="6">
        <v>0.78329411764705881</v>
      </c>
      <c r="AA129" s="6">
        <v>0.37455882352941172</v>
      </c>
      <c r="AB129" s="6">
        <v>0.39449999999999996</v>
      </c>
      <c r="AC129" s="6">
        <v>14.537382352941176</v>
      </c>
      <c r="AD129" s="6">
        <v>1.9147058823529409E-2</v>
      </c>
      <c r="AE129" s="6">
        <v>0.32311764705882351</v>
      </c>
      <c r="AF129" s="6">
        <v>0.25773529411764706</v>
      </c>
      <c r="AG129" s="6">
        <v>7.5117647058823525E-2</v>
      </c>
      <c r="AH129" s="6">
        <v>0.76244117647058818</v>
      </c>
      <c r="AI129" s="6">
        <v>0.20094117647058823</v>
      </c>
      <c r="AJ129" s="6">
        <v>2.3923529411764703</v>
      </c>
    </row>
    <row r="130" spans="1:36" x14ac:dyDescent="0.25">
      <c r="A130" s="8" t="s">
        <v>179</v>
      </c>
      <c r="B130" s="27" t="s">
        <v>516</v>
      </c>
      <c r="C130" s="8" t="s">
        <v>146</v>
      </c>
      <c r="D130" s="8" t="s">
        <v>159</v>
      </c>
      <c r="E130" s="8">
        <v>2</v>
      </c>
      <c r="F130" s="8" t="s">
        <v>14</v>
      </c>
      <c r="G130" s="8" t="s">
        <v>1012</v>
      </c>
      <c r="H130" s="5">
        <f t="shared" ref="H130:H193" si="2">SUM(I130:M130,N130:R130,S130:AJ130)</f>
        <v>195.86147058823528</v>
      </c>
      <c r="I130" s="6">
        <v>0.16152941176470587</v>
      </c>
      <c r="J130" s="6">
        <v>0.5752647058823529</v>
      </c>
      <c r="K130" s="6">
        <v>0.45505882352941174</v>
      </c>
      <c r="L130" s="6">
        <v>0</v>
      </c>
      <c r="M130" s="6">
        <v>0.22549999999999998</v>
      </c>
      <c r="N130" s="6">
        <v>30.773264705882355</v>
      </c>
      <c r="O130" s="6">
        <v>3.1429705882352938</v>
      </c>
      <c r="P130" s="6">
        <v>4.2085588235294109</v>
      </c>
      <c r="Q130" s="6">
        <v>1.143</v>
      </c>
      <c r="R130" s="6">
        <v>0.46635294117647058</v>
      </c>
      <c r="S130" s="16">
        <v>21.692441176470584</v>
      </c>
      <c r="T130" s="16">
        <v>4.9882352941176468E-2</v>
      </c>
      <c r="U130" s="16">
        <v>5.3911764705882347E-2</v>
      </c>
      <c r="V130" s="6">
        <v>84.182999999999993</v>
      </c>
      <c r="W130" s="6">
        <v>4.135470588235294</v>
      </c>
      <c r="X130" s="6">
        <v>26.987970588235292</v>
      </c>
      <c r="Y130" s="6">
        <v>0.10849999999999999</v>
      </c>
      <c r="Z130" s="6">
        <v>0.95523529411764707</v>
      </c>
      <c r="AA130" s="6">
        <v>0.58041176470588229</v>
      </c>
      <c r="AB130" s="6">
        <v>0.5097647058823529</v>
      </c>
      <c r="AC130" s="6">
        <v>11.762588235294118</v>
      </c>
      <c r="AD130" s="6">
        <v>0</v>
      </c>
      <c r="AE130" s="6">
        <v>0.33614705882352941</v>
      </c>
      <c r="AF130" s="6">
        <v>0.13470588235294118</v>
      </c>
      <c r="AG130" s="6">
        <v>7.2882352941176468E-2</v>
      </c>
      <c r="AH130" s="6">
        <v>0.74682352941176455</v>
      </c>
      <c r="AI130" s="6">
        <v>0.18561764705882353</v>
      </c>
      <c r="AJ130" s="6">
        <v>2.2146176470588235</v>
      </c>
    </row>
    <row r="131" spans="1:36" x14ac:dyDescent="0.25">
      <c r="A131" s="7" t="s">
        <v>180</v>
      </c>
      <c r="B131" s="27" t="s">
        <v>517</v>
      </c>
      <c r="C131" s="8" t="s">
        <v>146</v>
      </c>
      <c r="D131" s="7" t="s">
        <v>161</v>
      </c>
      <c r="E131" s="7">
        <v>6</v>
      </c>
      <c r="F131" s="8" t="s">
        <v>14</v>
      </c>
      <c r="G131" s="8" t="s">
        <v>1012</v>
      </c>
      <c r="H131" s="5">
        <f t="shared" si="2"/>
        <v>72.087000000000003</v>
      </c>
      <c r="I131" s="6">
        <v>6.2411764705882347E-2</v>
      </c>
      <c r="J131" s="6">
        <v>0.25558823529411762</v>
      </c>
      <c r="K131" s="6">
        <v>0.25899999999999995</v>
      </c>
      <c r="L131" s="6">
        <v>0</v>
      </c>
      <c r="M131" s="6">
        <v>9.6823529411764697E-2</v>
      </c>
      <c r="N131" s="6">
        <v>13.460176470588234</v>
      </c>
      <c r="O131" s="6">
        <v>0.27944117647058819</v>
      </c>
      <c r="P131" s="6">
        <v>0.28070588235294114</v>
      </c>
      <c r="Q131" s="6">
        <v>0.37705882352941178</v>
      </c>
      <c r="R131" s="6">
        <v>0.24611764705882352</v>
      </c>
      <c r="S131" s="15">
        <v>12.077</v>
      </c>
      <c r="T131" s="15">
        <v>3.9E-2</v>
      </c>
      <c r="U131" s="15">
        <v>3.4000000000000002E-2</v>
      </c>
      <c r="V131" s="6">
        <v>11.581499999999998</v>
      </c>
      <c r="W131" s="6">
        <v>1.1359705882352942</v>
      </c>
      <c r="X131" s="6">
        <v>20.698058823529411</v>
      </c>
      <c r="Y131" s="6">
        <v>7.0764705882352938E-2</v>
      </c>
      <c r="Z131" s="6">
        <v>0.73</v>
      </c>
      <c r="AA131" s="6">
        <v>0.24494117647058825</v>
      </c>
      <c r="AB131" s="6">
        <v>0.62444117647058817</v>
      </c>
      <c r="AC131" s="6">
        <v>7.0772941176470585</v>
      </c>
      <c r="AD131" s="6">
        <v>2.7647058823529408E-3</v>
      </c>
      <c r="AE131" s="6">
        <v>0.1876176470588235</v>
      </c>
      <c r="AF131" s="6">
        <v>7.4911764705882344E-2</v>
      </c>
      <c r="AG131" s="6">
        <v>6.6735294117647045E-2</v>
      </c>
      <c r="AH131" s="6">
        <v>0.41370588235294115</v>
      </c>
      <c r="AI131" s="6">
        <v>0.13805882352941176</v>
      </c>
      <c r="AJ131" s="6">
        <v>1.5729117647058821</v>
      </c>
    </row>
    <row r="132" spans="1:36" x14ac:dyDescent="0.25">
      <c r="A132" s="7" t="s">
        <v>181</v>
      </c>
      <c r="B132" s="27" t="s">
        <v>518</v>
      </c>
      <c r="C132" s="8" t="s">
        <v>146</v>
      </c>
      <c r="D132" s="7" t="s">
        <v>163</v>
      </c>
      <c r="E132" s="7">
        <v>6</v>
      </c>
      <c r="F132" s="8" t="s">
        <v>14</v>
      </c>
      <c r="G132" s="8" t="s">
        <v>1012</v>
      </c>
      <c r="H132" s="5">
        <f t="shared" si="2"/>
        <v>66.928647058823501</v>
      </c>
      <c r="I132" s="6">
        <v>6.097058823529411E-2</v>
      </c>
      <c r="J132" s="6">
        <v>0.27270588235294113</v>
      </c>
      <c r="K132" s="6">
        <v>0.21708823529411764</v>
      </c>
      <c r="L132" s="6">
        <v>0</v>
      </c>
      <c r="M132" s="6">
        <v>8.6676470588235285E-2</v>
      </c>
      <c r="N132" s="6">
        <v>11.941911764705882</v>
      </c>
      <c r="O132" s="6">
        <v>0.39547058823529407</v>
      </c>
      <c r="P132" s="6">
        <v>0.43258823529411755</v>
      </c>
      <c r="Q132" s="6">
        <v>0.28941176470588231</v>
      </c>
      <c r="R132" s="6">
        <v>0.21535294117647055</v>
      </c>
      <c r="S132" s="15">
        <v>11.727</v>
      </c>
      <c r="T132" s="15">
        <v>6.2E-2</v>
      </c>
      <c r="U132" s="15">
        <v>4.9000000000000002E-2</v>
      </c>
      <c r="V132" s="6">
        <v>15.22164705882353</v>
      </c>
      <c r="W132" s="6">
        <v>1.1461176470588235</v>
      </c>
      <c r="X132" s="6">
        <v>13.906294117647057</v>
      </c>
      <c r="Y132" s="6">
        <v>8.4411764705882339E-2</v>
      </c>
      <c r="Z132" s="6">
        <v>0.24970588235294117</v>
      </c>
      <c r="AA132" s="6">
        <v>0.23673529411764704</v>
      </c>
      <c r="AB132" s="6">
        <v>0.40482352941176469</v>
      </c>
      <c r="AC132" s="6">
        <v>7.2549705882352926</v>
      </c>
      <c r="AD132" s="6">
        <v>5.2941176470588233E-3</v>
      </c>
      <c r="AE132" s="6">
        <v>0.18694117647058825</v>
      </c>
      <c r="AF132" s="6">
        <v>0.11008823529411763</v>
      </c>
      <c r="AG132" s="6">
        <v>6.0735294117647061E-2</v>
      </c>
      <c r="AH132" s="6">
        <v>0.49091176470588233</v>
      </c>
      <c r="AI132" s="6">
        <v>0.13447058823529409</v>
      </c>
      <c r="AJ132" s="6">
        <v>1.6853235294117646</v>
      </c>
    </row>
    <row r="133" spans="1:36" x14ac:dyDescent="0.25">
      <c r="A133" s="7" t="s">
        <v>182</v>
      </c>
      <c r="B133" s="27" t="s">
        <v>519</v>
      </c>
      <c r="C133" s="8" t="s">
        <v>146</v>
      </c>
      <c r="D133" s="7" t="s">
        <v>165</v>
      </c>
      <c r="E133" s="7">
        <v>6</v>
      </c>
      <c r="F133" s="8" t="s">
        <v>14</v>
      </c>
      <c r="G133" s="8" t="s">
        <v>1012</v>
      </c>
      <c r="H133" s="5">
        <f t="shared" si="2"/>
        <v>62.026911764705879</v>
      </c>
      <c r="I133" s="6">
        <v>4.1676470588235294E-2</v>
      </c>
      <c r="J133" s="6">
        <v>0.23652941176470588</v>
      </c>
      <c r="K133" s="6">
        <v>0.46332352941176469</v>
      </c>
      <c r="L133" s="6">
        <v>0</v>
      </c>
      <c r="M133" s="6">
        <v>9.4529411764705876E-2</v>
      </c>
      <c r="N133" s="6">
        <v>13.67020588235294</v>
      </c>
      <c r="O133" s="6">
        <v>0.4844705882352941</v>
      </c>
      <c r="P133" s="6">
        <v>0.26797058823529407</v>
      </c>
      <c r="Q133" s="6">
        <v>0.90149999999999997</v>
      </c>
      <c r="R133" s="6">
        <v>0.14208823529411763</v>
      </c>
      <c r="S133" s="15">
        <v>9.2260000000000009</v>
      </c>
      <c r="T133" s="15">
        <v>4.2000000000000003E-2</v>
      </c>
      <c r="U133" s="15">
        <v>1.7999999999999999E-2</v>
      </c>
      <c r="V133" s="6">
        <v>14.303735294117645</v>
      </c>
      <c r="W133" s="6">
        <v>1.1530588235294117</v>
      </c>
      <c r="X133" s="6">
        <v>10.777852941176469</v>
      </c>
      <c r="Y133" s="6">
        <v>6.7205882352941171E-2</v>
      </c>
      <c r="Z133" s="6">
        <v>0.22841176470588234</v>
      </c>
      <c r="AA133" s="6">
        <v>0.18097058823529411</v>
      </c>
      <c r="AB133" s="6">
        <v>0.28535294117647053</v>
      </c>
      <c r="AC133" s="6">
        <v>7.2243235294117643</v>
      </c>
      <c r="AD133" s="6">
        <v>2.9411764705882353E-3</v>
      </c>
      <c r="AE133" s="6">
        <v>0.14405882352941177</v>
      </c>
      <c r="AF133" s="6">
        <v>0.10367647058823527</v>
      </c>
      <c r="AG133" s="6">
        <v>4.8205882352941168E-2</v>
      </c>
      <c r="AH133" s="6">
        <v>0.42961764705882349</v>
      </c>
      <c r="AI133" s="6">
        <v>0.12770588235294117</v>
      </c>
      <c r="AJ133" s="6">
        <v>1.3614999999999999</v>
      </c>
    </row>
    <row r="134" spans="1:36" x14ac:dyDescent="0.25">
      <c r="A134" s="8" t="s">
        <v>183</v>
      </c>
      <c r="B134" s="27" t="s">
        <v>520</v>
      </c>
      <c r="C134" s="8" t="s">
        <v>146</v>
      </c>
      <c r="D134" s="8" t="s">
        <v>167</v>
      </c>
      <c r="E134" s="8">
        <v>6</v>
      </c>
      <c r="F134" s="8" t="s">
        <v>14</v>
      </c>
      <c r="G134" s="8" t="s">
        <v>1012</v>
      </c>
      <c r="H134" s="5">
        <f t="shared" si="2"/>
        <v>131.78755882352942</v>
      </c>
      <c r="I134" s="6">
        <v>0.14720588235294116</v>
      </c>
      <c r="J134" s="6">
        <v>0.6381470588235294</v>
      </c>
      <c r="K134" s="6">
        <v>0.64826470588235285</v>
      </c>
      <c r="L134" s="6">
        <v>0</v>
      </c>
      <c r="M134" s="6">
        <v>0.27708823529411764</v>
      </c>
      <c r="N134" s="6">
        <v>29.539764705882348</v>
      </c>
      <c r="O134" s="6">
        <v>0.57223529411764706</v>
      </c>
      <c r="P134" s="6">
        <v>0.53352941176470581</v>
      </c>
      <c r="Q134" s="6">
        <v>0.74473529411764694</v>
      </c>
      <c r="R134" s="6">
        <v>0.43908823529411761</v>
      </c>
      <c r="S134" s="16">
        <v>23.217735294117645</v>
      </c>
      <c r="T134" s="16">
        <v>0.1041470588235294</v>
      </c>
      <c r="U134" s="16">
        <v>7.4764705882352941E-2</v>
      </c>
      <c r="V134" s="6">
        <v>19.665558823529409</v>
      </c>
      <c r="W134" s="6">
        <v>2.4072352941176467</v>
      </c>
      <c r="X134" s="6">
        <v>26.781382352941176</v>
      </c>
      <c r="Y134" s="6">
        <v>0.15194117647058822</v>
      </c>
      <c r="Z134" s="6">
        <v>0.42649999999999999</v>
      </c>
      <c r="AA134" s="6">
        <v>0.35567647058823526</v>
      </c>
      <c r="AB134" s="6">
        <v>0.43267647058823522</v>
      </c>
      <c r="AC134" s="6">
        <v>19.710088235294116</v>
      </c>
      <c r="AD134" s="6">
        <v>1.8235294117647058E-2</v>
      </c>
      <c r="AE134" s="6">
        <v>0.3499411764705882</v>
      </c>
      <c r="AF134" s="6">
        <v>0.28879411764705881</v>
      </c>
      <c r="AG134" s="6">
        <v>8.9911764705882344E-2</v>
      </c>
      <c r="AH134" s="6">
        <v>0.86667647058823516</v>
      </c>
      <c r="AI134" s="6">
        <v>0.35123529411764703</v>
      </c>
      <c r="AJ134" s="6">
        <v>2.9549999999999996</v>
      </c>
    </row>
    <row r="135" spans="1:36" x14ac:dyDescent="0.25">
      <c r="A135" s="8" t="s">
        <v>184</v>
      </c>
      <c r="B135" s="27" t="s">
        <v>521</v>
      </c>
      <c r="C135" s="8" t="s">
        <v>146</v>
      </c>
      <c r="D135" s="8" t="s">
        <v>169</v>
      </c>
      <c r="E135" s="8">
        <v>6</v>
      </c>
      <c r="F135" s="8" t="s">
        <v>14</v>
      </c>
      <c r="G135" s="8" t="s">
        <v>1012</v>
      </c>
      <c r="H135" s="5">
        <f t="shared" si="2"/>
        <v>104.27961764705886</v>
      </c>
      <c r="I135" s="6">
        <v>0.11520588235294117</v>
      </c>
      <c r="J135" s="6">
        <v>0.58367647058823524</v>
      </c>
      <c r="K135" s="6">
        <v>0.47129411764705875</v>
      </c>
      <c r="L135" s="6">
        <v>0</v>
      </c>
      <c r="M135" s="6">
        <v>0.18879411764705881</v>
      </c>
      <c r="N135" s="6">
        <v>19.853911764705881</v>
      </c>
      <c r="O135" s="6">
        <v>7.0176470588235285E-2</v>
      </c>
      <c r="P135" s="6">
        <v>0.10867647058823528</v>
      </c>
      <c r="Q135" s="6">
        <v>0.60099999999999998</v>
      </c>
      <c r="R135" s="6">
        <v>0.60902941176470582</v>
      </c>
      <c r="S135" s="16">
        <v>25.114411764705881</v>
      </c>
      <c r="T135" s="16">
        <v>2.1176470588235293E-2</v>
      </c>
      <c r="U135" s="16">
        <v>4.6441176470588229E-2</v>
      </c>
      <c r="V135" s="6">
        <v>7.4902941176470579</v>
      </c>
      <c r="W135" s="6">
        <v>1.5724411764705883</v>
      </c>
      <c r="X135" s="6">
        <v>27.464882352941174</v>
      </c>
      <c r="Y135" s="6">
        <v>0.19538235294117645</v>
      </c>
      <c r="Z135" s="6">
        <v>0.28858823529411765</v>
      </c>
      <c r="AA135" s="6">
        <v>0.21820588235294117</v>
      </c>
      <c r="AB135" s="6">
        <v>0.1771764705882353</v>
      </c>
      <c r="AC135" s="6">
        <v>14.781970588235295</v>
      </c>
      <c r="AD135" s="6">
        <v>1.964705882352941E-2</v>
      </c>
      <c r="AE135" s="6">
        <v>0.22852941176470587</v>
      </c>
      <c r="AF135" s="6">
        <v>0.28497058823529409</v>
      </c>
      <c r="AG135" s="6">
        <v>5.5E-2</v>
      </c>
      <c r="AH135" s="6">
        <v>0.74470588235294111</v>
      </c>
      <c r="AI135" s="6">
        <v>0.16399999999999998</v>
      </c>
      <c r="AJ135" s="6">
        <v>2.8100294117647056</v>
      </c>
    </row>
    <row r="136" spans="1:36" x14ac:dyDescent="0.25">
      <c r="A136" s="7" t="s">
        <v>185</v>
      </c>
      <c r="B136" s="27" t="s">
        <v>522</v>
      </c>
      <c r="C136" s="8" t="s">
        <v>146</v>
      </c>
      <c r="D136" s="7" t="s">
        <v>141</v>
      </c>
      <c r="E136" s="7">
        <v>0</v>
      </c>
      <c r="F136" s="7" t="s">
        <v>15</v>
      </c>
      <c r="G136" s="8" t="s">
        <v>1012</v>
      </c>
      <c r="H136" s="5">
        <f t="shared" si="2"/>
        <v>115.5145882352941</v>
      </c>
      <c r="I136" s="6">
        <v>8.4382352941176464E-2</v>
      </c>
      <c r="J136" s="6">
        <v>0.38758823529411762</v>
      </c>
      <c r="K136" s="6">
        <v>1.960941176470588</v>
      </c>
      <c r="L136" s="6">
        <v>0</v>
      </c>
      <c r="M136" s="6">
        <v>0.20802941176470588</v>
      </c>
      <c r="N136" s="6">
        <v>27.852058823529408</v>
      </c>
      <c r="O136" s="6">
        <v>0</v>
      </c>
      <c r="P136" s="6">
        <v>0</v>
      </c>
      <c r="Q136" s="6">
        <v>5.0205882352941176</v>
      </c>
      <c r="R136" s="6">
        <v>0.28735294117647053</v>
      </c>
      <c r="S136" s="15">
        <v>11.301</v>
      </c>
      <c r="T136" s="15">
        <v>0</v>
      </c>
      <c r="U136" s="15">
        <v>0</v>
      </c>
      <c r="V136" s="6">
        <v>32.327529411764701</v>
      </c>
      <c r="W136" s="6">
        <v>2.7194999999999996</v>
      </c>
      <c r="X136" s="6">
        <v>24.991323529411762</v>
      </c>
      <c r="Y136" s="6">
        <v>0.10555882352941175</v>
      </c>
      <c r="Z136" s="6">
        <v>1.1208235294117646</v>
      </c>
      <c r="AA136" s="6">
        <v>0.17588235294117646</v>
      </c>
      <c r="AB136" s="6">
        <v>0.55099999999999993</v>
      </c>
      <c r="AC136" s="6">
        <v>4.3445882352941174</v>
      </c>
      <c r="AD136" s="6">
        <v>3.8911764705882354E-2</v>
      </c>
      <c r="AE136" s="6">
        <v>0.11891176470588234</v>
      </c>
      <c r="AF136" s="6">
        <v>7.7411764705882347E-2</v>
      </c>
      <c r="AG136" s="6">
        <v>6.1117647058823527E-2</v>
      </c>
      <c r="AH136" s="6">
        <v>0.58005882352941174</v>
      </c>
      <c r="AI136" s="6">
        <v>0.12223529411764705</v>
      </c>
      <c r="AJ136" s="6">
        <v>1.0777941176470587</v>
      </c>
    </row>
    <row r="137" spans="1:36" x14ac:dyDescent="0.25">
      <c r="A137" s="7" t="s">
        <v>186</v>
      </c>
      <c r="B137" s="27" t="s">
        <v>523</v>
      </c>
      <c r="C137" s="8" t="s">
        <v>146</v>
      </c>
      <c r="D137" s="7" t="s">
        <v>143</v>
      </c>
      <c r="E137" s="7">
        <v>1</v>
      </c>
      <c r="F137" s="7" t="s">
        <v>15</v>
      </c>
      <c r="G137" s="8" t="s">
        <v>1012</v>
      </c>
      <c r="H137" s="5">
        <f t="shared" si="2"/>
        <v>124.28820588235294</v>
      </c>
      <c r="I137" s="6">
        <v>0.11464705882352941</v>
      </c>
      <c r="J137" s="6">
        <v>0.42823529411764705</v>
      </c>
      <c r="K137" s="6">
        <v>1.9535882352941176</v>
      </c>
      <c r="L137" s="6">
        <v>0</v>
      </c>
      <c r="M137" s="6">
        <v>0.16179411764705881</v>
      </c>
      <c r="N137" s="6">
        <v>30.798794117647059</v>
      </c>
      <c r="O137" s="6">
        <v>6.6970588235294101E-2</v>
      </c>
      <c r="P137" s="6">
        <v>0.37570588235294111</v>
      </c>
      <c r="Q137" s="6">
        <v>7.4592352941176463</v>
      </c>
      <c r="R137" s="6">
        <v>0.20091176470588232</v>
      </c>
      <c r="S137" s="15">
        <v>10.585000000000001</v>
      </c>
      <c r="T137" s="15">
        <v>0</v>
      </c>
      <c r="U137" s="15">
        <v>0</v>
      </c>
      <c r="V137" s="6">
        <v>39.688117647058817</v>
      </c>
      <c r="W137" s="6">
        <v>2.9876470588235291</v>
      </c>
      <c r="X137" s="6">
        <v>21.582205882352941</v>
      </c>
      <c r="Y137" s="6">
        <v>9.873529411764706E-2</v>
      </c>
      <c r="Z137" s="6">
        <v>1.1577647058823528</v>
      </c>
      <c r="AA137" s="6">
        <v>0.18735294117647058</v>
      </c>
      <c r="AB137" s="6">
        <v>0.46085294117647052</v>
      </c>
      <c r="AC137" s="6">
        <v>4.0124999999999993</v>
      </c>
      <c r="AD137" s="6">
        <v>5.8441176470588226E-2</v>
      </c>
      <c r="AE137" s="6">
        <v>0.11994117647058822</v>
      </c>
      <c r="AF137" s="6">
        <v>9.7617647058823517E-2</v>
      </c>
      <c r="AG137" s="6">
        <v>6.5735294117647045E-2</v>
      </c>
      <c r="AH137" s="6">
        <v>0.55488235294117638</v>
      </c>
      <c r="AI137" s="6">
        <v>0.11170588235294117</v>
      </c>
      <c r="AJ137" s="6">
        <v>0.95982352941176463</v>
      </c>
    </row>
    <row r="138" spans="1:36" x14ac:dyDescent="0.25">
      <c r="A138" s="7" t="s">
        <v>187</v>
      </c>
      <c r="B138" s="27" t="s">
        <v>524</v>
      </c>
      <c r="C138" s="8" t="s">
        <v>146</v>
      </c>
      <c r="D138" s="7" t="s">
        <v>145</v>
      </c>
      <c r="E138" s="7">
        <v>1</v>
      </c>
      <c r="F138" s="7" t="s">
        <v>15</v>
      </c>
      <c r="G138" s="8" t="s">
        <v>1012</v>
      </c>
      <c r="H138" s="5">
        <f t="shared" si="2"/>
        <v>43.846823529411772</v>
      </c>
      <c r="I138" s="6">
        <v>7.5852941176470581E-2</v>
      </c>
      <c r="J138" s="6">
        <v>0.34882352941176464</v>
      </c>
      <c r="K138" s="6">
        <v>0.5702647058823529</v>
      </c>
      <c r="L138" s="6">
        <v>0</v>
      </c>
      <c r="M138" s="6">
        <v>0.11194117647058821</v>
      </c>
      <c r="N138" s="6">
        <v>9.6347647058823522</v>
      </c>
      <c r="O138" s="6">
        <v>0</v>
      </c>
      <c r="P138" s="6">
        <v>8.1970588235294115E-2</v>
      </c>
      <c r="Q138" s="6">
        <v>1.2600588235294117</v>
      </c>
      <c r="R138" s="6">
        <v>0.12767647058823528</v>
      </c>
      <c r="S138" s="15">
        <v>6.048</v>
      </c>
      <c r="T138" s="15">
        <v>0</v>
      </c>
      <c r="U138" s="15">
        <v>0</v>
      </c>
      <c r="V138" s="6">
        <v>10.562999999999999</v>
      </c>
      <c r="W138" s="6">
        <v>1.1437352941176469</v>
      </c>
      <c r="X138" s="6">
        <v>6.8940294117647056</v>
      </c>
      <c r="Y138" s="6">
        <v>4.4558823529411762E-2</v>
      </c>
      <c r="Z138" s="6">
        <v>0.2531176470588235</v>
      </c>
      <c r="AA138" s="6">
        <v>0.12479411764705882</v>
      </c>
      <c r="AB138" s="6">
        <v>0.15414705882352939</v>
      </c>
      <c r="AC138" s="6">
        <v>4.2243235294117643</v>
      </c>
      <c r="AD138" s="6">
        <v>2.9558823529411762E-2</v>
      </c>
      <c r="AE138" s="6">
        <v>0.12694117647058822</v>
      </c>
      <c r="AF138" s="6">
        <v>6.3E-2</v>
      </c>
      <c r="AG138" s="6">
        <v>4.5705882352941173E-2</v>
      </c>
      <c r="AH138" s="6">
        <v>0.68785294117647056</v>
      </c>
      <c r="AI138" s="6">
        <v>0.15938235294117648</v>
      </c>
      <c r="AJ138" s="6">
        <v>1.0733235294117645</v>
      </c>
    </row>
    <row r="139" spans="1:36" x14ac:dyDescent="0.25">
      <c r="A139" s="8" t="s">
        <v>188</v>
      </c>
      <c r="B139" s="27" t="s">
        <v>525</v>
      </c>
      <c r="C139" s="8" t="s">
        <v>146</v>
      </c>
      <c r="D139" s="8" t="s">
        <v>146</v>
      </c>
      <c r="E139" s="8">
        <v>1</v>
      </c>
      <c r="F139" s="8" t="s">
        <v>15</v>
      </c>
      <c r="G139" s="8" t="s">
        <v>1012</v>
      </c>
      <c r="H139" s="5">
        <f t="shared" si="2"/>
        <v>70.953735294117649</v>
      </c>
      <c r="I139" s="6">
        <v>9.1499999999999984E-2</v>
      </c>
      <c r="J139" s="6">
        <v>0.45482352941176468</v>
      </c>
      <c r="K139" s="6">
        <v>0.90085294117647052</v>
      </c>
      <c r="L139" s="6">
        <v>0</v>
      </c>
      <c r="M139" s="6">
        <v>0.17691176470588235</v>
      </c>
      <c r="N139" s="6">
        <v>15.907794117647057</v>
      </c>
      <c r="O139" s="6">
        <v>1.10294117647059E-2</v>
      </c>
      <c r="P139" s="6">
        <v>3.1235294117647056E-2</v>
      </c>
      <c r="Q139" s="6">
        <v>1.8336764705882349</v>
      </c>
      <c r="R139" s="6">
        <v>0.28720588235294114</v>
      </c>
      <c r="S139" s="16">
        <v>10.439117647058824</v>
      </c>
      <c r="T139" s="16">
        <v>0</v>
      </c>
      <c r="U139" s="16">
        <v>0</v>
      </c>
      <c r="V139" s="6">
        <v>13.544441176470587</v>
      </c>
      <c r="W139" s="6">
        <v>1.4735588235294115</v>
      </c>
      <c r="X139" s="6">
        <v>17.670441176470586</v>
      </c>
      <c r="Y139" s="6">
        <v>8.067647058823528E-2</v>
      </c>
      <c r="Z139" s="6">
        <v>0.69535294117647051</v>
      </c>
      <c r="AA139" s="6">
        <v>0.1801764705882353</v>
      </c>
      <c r="AB139" s="6">
        <v>0.43138235294117644</v>
      </c>
      <c r="AC139" s="6">
        <v>4.4992352941176472</v>
      </c>
      <c r="AD139" s="6">
        <v>6.4852941176470585E-2</v>
      </c>
      <c r="AE139" s="6">
        <v>0.1459705882352941</v>
      </c>
      <c r="AF139" s="6">
        <v>0.12152941176470589</v>
      </c>
      <c r="AG139" s="6">
        <v>7.6852941176470582E-2</v>
      </c>
      <c r="AH139" s="6">
        <v>0.61814705882352938</v>
      </c>
      <c r="AI139" s="6">
        <v>0.13852941176470587</v>
      </c>
      <c r="AJ139" s="6">
        <v>1.0784411764705881</v>
      </c>
    </row>
    <row r="140" spans="1:36" x14ac:dyDescent="0.25">
      <c r="A140" s="8" t="s">
        <v>189</v>
      </c>
      <c r="B140" s="27" t="s">
        <v>526</v>
      </c>
      <c r="C140" s="8" t="s">
        <v>146</v>
      </c>
      <c r="D140" s="8" t="s">
        <v>149</v>
      </c>
      <c r="E140" s="8">
        <v>1</v>
      </c>
      <c r="F140" s="8" t="s">
        <v>15</v>
      </c>
      <c r="G140" s="8" t="s">
        <v>1012</v>
      </c>
      <c r="H140" s="5">
        <f t="shared" si="2"/>
        <v>68.48579411764706</v>
      </c>
      <c r="I140" s="6">
        <v>8.8058823529411759E-2</v>
      </c>
      <c r="J140" s="6">
        <v>0.34970588235294114</v>
      </c>
      <c r="K140" s="6">
        <v>0.878</v>
      </c>
      <c r="L140" s="6">
        <v>0</v>
      </c>
      <c r="M140" s="6">
        <v>0.13720588235294115</v>
      </c>
      <c r="N140" s="6">
        <v>15.509823529411763</v>
      </c>
      <c r="O140" s="6">
        <v>5.4441176470588229E-2</v>
      </c>
      <c r="P140" s="6">
        <v>0.16891176470588234</v>
      </c>
      <c r="Q140" s="6">
        <v>1.6574999999999998</v>
      </c>
      <c r="R140" s="6">
        <v>0.19888235294117645</v>
      </c>
      <c r="S140" s="16">
        <v>10.177117647058823</v>
      </c>
      <c r="T140" s="16">
        <v>0</v>
      </c>
      <c r="U140" s="16">
        <v>0</v>
      </c>
      <c r="V140" s="6">
        <v>17.357499999999998</v>
      </c>
      <c r="W140" s="6">
        <v>1.6648529411764705</v>
      </c>
      <c r="X140" s="6">
        <v>11.250794117647059</v>
      </c>
      <c r="Y140" s="6">
        <v>6.7176470588235282E-2</v>
      </c>
      <c r="Z140" s="6">
        <v>0.39661764705882346</v>
      </c>
      <c r="AA140" s="6">
        <v>0.16608823529411762</v>
      </c>
      <c r="AB140" s="6">
        <v>0.24055882352941174</v>
      </c>
      <c r="AC140" s="6">
        <v>5.4768235294117646</v>
      </c>
      <c r="AD140" s="6">
        <v>5.2147058823529407E-2</v>
      </c>
      <c r="AE140" s="6">
        <v>0.15144117647058822</v>
      </c>
      <c r="AF140" s="6">
        <v>7.6941176470588221E-2</v>
      </c>
      <c r="AG140" s="6">
        <v>6.0294117647058824E-2</v>
      </c>
      <c r="AH140" s="6">
        <v>0.83482352941176463</v>
      </c>
      <c r="AI140" s="6">
        <v>0.19761764705882351</v>
      </c>
      <c r="AJ140" s="6">
        <v>1.272470588235294</v>
      </c>
    </row>
    <row r="141" spans="1:36" x14ac:dyDescent="0.25">
      <c r="A141" s="7" t="s">
        <v>190</v>
      </c>
      <c r="B141" s="27" t="s">
        <v>527</v>
      </c>
      <c r="C141" s="8" t="s">
        <v>146</v>
      </c>
      <c r="D141" s="7" t="s">
        <v>151</v>
      </c>
      <c r="E141" s="7">
        <v>2</v>
      </c>
      <c r="F141" s="8" t="s">
        <v>15</v>
      </c>
      <c r="G141" s="8" t="s">
        <v>1012</v>
      </c>
      <c r="H141" s="5">
        <f t="shared" si="2"/>
        <v>234.62823529411759</v>
      </c>
      <c r="I141" s="6">
        <v>0.1242941176470588</v>
      </c>
      <c r="J141" s="6">
        <v>0.50849999999999995</v>
      </c>
      <c r="K141" s="6">
        <v>3.5757941176470585</v>
      </c>
      <c r="L141" s="6">
        <v>0</v>
      </c>
      <c r="M141" s="6">
        <v>0.36511764705882349</v>
      </c>
      <c r="N141" s="6">
        <v>57.278058823529413</v>
      </c>
      <c r="O141" s="6">
        <v>0.27023529411764707</v>
      </c>
      <c r="P141" s="6">
        <v>0.37626470588235289</v>
      </c>
      <c r="Q141" s="6">
        <v>9.8477058823529404</v>
      </c>
      <c r="R141" s="6">
        <v>0.46467647058823525</v>
      </c>
      <c r="S141" s="15">
        <v>17.271000000000001</v>
      </c>
      <c r="T141" s="15">
        <v>0</v>
      </c>
      <c r="U141" s="15">
        <v>0</v>
      </c>
      <c r="V141" s="6">
        <v>74.396470588235289</v>
      </c>
      <c r="W141" s="6">
        <v>5.7039411764705878</v>
      </c>
      <c r="X141" s="6">
        <v>52.101176470588236</v>
      </c>
      <c r="Y141" s="6">
        <v>0.21388235294117647</v>
      </c>
      <c r="Z141" s="6">
        <v>2.6587941176470586</v>
      </c>
      <c r="AA141" s="6">
        <v>0.32899999999999996</v>
      </c>
      <c r="AB141" s="6">
        <v>1.2608823529411763</v>
      </c>
      <c r="AC141" s="6">
        <v>5.0944411764705881</v>
      </c>
      <c r="AD141" s="6">
        <v>6.4588235294117641E-2</v>
      </c>
      <c r="AE141" s="6">
        <v>0.18561764705882353</v>
      </c>
      <c r="AF141" s="6">
        <v>0.13097058823529412</v>
      </c>
      <c r="AG141" s="6">
        <v>0.10038235294117646</v>
      </c>
      <c r="AH141" s="6">
        <v>0.75211764705882345</v>
      </c>
      <c r="AI141" s="6">
        <v>0.15276470588235294</v>
      </c>
      <c r="AJ141" s="6">
        <v>1.4015588235294116</v>
      </c>
    </row>
    <row r="142" spans="1:36" x14ac:dyDescent="0.25">
      <c r="A142" s="7" t="s">
        <v>191</v>
      </c>
      <c r="B142" s="27" t="s">
        <v>528</v>
      </c>
      <c r="C142" s="8" t="s">
        <v>146</v>
      </c>
      <c r="D142" s="7" t="s">
        <v>153</v>
      </c>
      <c r="E142" s="7">
        <v>2</v>
      </c>
      <c r="F142" s="8" t="s">
        <v>15</v>
      </c>
      <c r="G142" s="8" t="s">
        <v>1012</v>
      </c>
      <c r="H142" s="5">
        <f t="shared" si="2"/>
        <v>141.14182352941174</v>
      </c>
      <c r="I142" s="6">
        <v>9.8264705882352935E-2</v>
      </c>
      <c r="J142" s="6">
        <v>0.42555882352941177</v>
      </c>
      <c r="K142" s="6">
        <v>2.0460588235294113</v>
      </c>
      <c r="L142" s="6">
        <v>0</v>
      </c>
      <c r="M142" s="6">
        <v>0.19764705882352937</v>
      </c>
      <c r="N142" s="6">
        <v>31.04976470588235</v>
      </c>
      <c r="O142" s="6">
        <v>3.3235294117647057E-2</v>
      </c>
      <c r="P142" s="6">
        <v>0.38120588235294117</v>
      </c>
      <c r="Q142" s="6">
        <v>5.8772647058823528</v>
      </c>
      <c r="R142" s="6">
        <v>0.28797058823529409</v>
      </c>
      <c r="S142" s="15">
        <v>12.815</v>
      </c>
      <c r="T142" s="15">
        <v>0</v>
      </c>
      <c r="U142" s="15">
        <v>0</v>
      </c>
      <c r="V142" s="6">
        <v>48.872764705882346</v>
      </c>
      <c r="W142" s="6">
        <v>3.1865588235294111</v>
      </c>
      <c r="X142" s="6">
        <v>26.068176470588234</v>
      </c>
      <c r="Y142" s="6">
        <v>0.11185294117647059</v>
      </c>
      <c r="Z142" s="6">
        <v>1.1412352941176469</v>
      </c>
      <c r="AA142" s="6">
        <v>0.20908823529411763</v>
      </c>
      <c r="AB142" s="6">
        <v>0.54052941176470581</v>
      </c>
      <c r="AC142" s="6">
        <v>5.2231764705882346</v>
      </c>
      <c r="AD142" s="6">
        <v>6.4411764705882349E-2</v>
      </c>
      <c r="AE142" s="6">
        <v>0.14667647058823527</v>
      </c>
      <c r="AF142" s="6">
        <v>9.9794117647058825E-2</v>
      </c>
      <c r="AG142" s="6">
        <v>8.0705882352941169E-2</v>
      </c>
      <c r="AH142" s="6">
        <v>0.73917647058823521</v>
      </c>
      <c r="AI142" s="6">
        <v>0.17655882352941174</v>
      </c>
      <c r="AJ142" s="6">
        <v>1.2691470588235294</v>
      </c>
    </row>
    <row r="143" spans="1:36" x14ac:dyDescent="0.25">
      <c r="A143" s="7" t="s">
        <v>192</v>
      </c>
      <c r="B143" s="27" t="s">
        <v>529</v>
      </c>
      <c r="C143" s="8" t="s">
        <v>146</v>
      </c>
      <c r="D143" s="7" t="s">
        <v>155</v>
      </c>
      <c r="E143" s="7">
        <v>2</v>
      </c>
      <c r="F143" s="8" t="s">
        <v>15</v>
      </c>
      <c r="G143" s="8" t="s">
        <v>1012</v>
      </c>
      <c r="H143" s="5">
        <f t="shared" si="2"/>
        <v>35.514176470588225</v>
      </c>
      <c r="I143" s="6">
        <v>7.1970588235294106E-2</v>
      </c>
      <c r="J143" s="6">
        <v>0.39370588235294118</v>
      </c>
      <c r="K143" s="6">
        <v>0.32649999999999996</v>
      </c>
      <c r="L143" s="6">
        <v>0</v>
      </c>
      <c r="M143" s="6">
        <v>0.10797058823529411</v>
      </c>
      <c r="N143" s="6">
        <v>6.0619411764705875</v>
      </c>
      <c r="O143" s="6">
        <v>3.4764705882352941E-2</v>
      </c>
      <c r="P143" s="6">
        <v>0.28897058823529409</v>
      </c>
      <c r="Q143" s="6">
        <v>0.24491176470588233</v>
      </c>
      <c r="R143" s="6">
        <v>0.13273529411764706</v>
      </c>
      <c r="S143" s="15">
        <v>5.3179999999999996</v>
      </c>
      <c r="T143" s="15">
        <v>0</v>
      </c>
      <c r="U143" s="15">
        <v>0</v>
      </c>
      <c r="V143" s="6">
        <v>10.956529411764706</v>
      </c>
      <c r="W143" s="6">
        <v>0.80697058823529411</v>
      </c>
      <c r="X143" s="6">
        <v>5.0441470588235289</v>
      </c>
      <c r="Y143" s="6">
        <v>3.1E-2</v>
      </c>
      <c r="Z143" s="6">
        <v>0.13647058823529409</v>
      </c>
      <c r="AA143" s="6">
        <v>9.6588235294117641E-2</v>
      </c>
      <c r="AB143" s="6">
        <v>0.10647058823529412</v>
      </c>
      <c r="AC143" s="6">
        <v>3.6866764705882353</v>
      </c>
      <c r="AD143" s="6">
        <v>2.9058823529411762E-2</v>
      </c>
      <c r="AE143" s="6">
        <v>9.11470588235294E-2</v>
      </c>
      <c r="AF143" s="6">
        <v>5.5617647058823522E-2</v>
      </c>
      <c r="AG143" s="6">
        <v>5.2411764705882345E-2</v>
      </c>
      <c r="AH143" s="6">
        <v>0.48844117647058816</v>
      </c>
      <c r="AI143" s="6">
        <v>0.10682352941176469</v>
      </c>
      <c r="AJ143" s="6">
        <v>0.84435294117647053</v>
      </c>
    </row>
    <row r="144" spans="1:36" x14ac:dyDescent="0.25">
      <c r="A144" s="8" t="s">
        <v>193</v>
      </c>
      <c r="B144" s="27" t="s">
        <v>530</v>
      </c>
      <c r="C144" s="8" t="s">
        <v>146</v>
      </c>
      <c r="D144" s="8" t="s">
        <v>157</v>
      </c>
      <c r="E144" s="8">
        <v>2</v>
      </c>
      <c r="F144" s="8" t="s">
        <v>15</v>
      </c>
      <c r="G144" s="8" t="s">
        <v>1012</v>
      </c>
      <c r="H144" s="5">
        <f t="shared" si="2"/>
        <v>47.367970588235288</v>
      </c>
      <c r="I144" s="6">
        <v>9.4764705882352931E-2</v>
      </c>
      <c r="J144" s="6">
        <v>0.38047058823529412</v>
      </c>
      <c r="K144" s="6">
        <v>0.48276470588235293</v>
      </c>
      <c r="L144" s="6">
        <v>0</v>
      </c>
      <c r="M144" s="6">
        <v>0.17811764705882352</v>
      </c>
      <c r="N144" s="6">
        <v>10.381205882352941</v>
      </c>
      <c r="O144" s="6">
        <v>0.23129411764705882</v>
      </c>
      <c r="P144" s="6">
        <v>0.22105882352941175</v>
      </c>
      <c r="Q144" s="6">
        <v>0.41114705882352937</v>
      </c>
      <c r="R144" s="6">
        <v>0.27</v>
      </c>
      <c r="S144" s="16">
        <v>10.197264705882352</v>
      </c>
      <c r="T144" s="16">
        <v>9.8529411764705886E-3</v>
      </c>
      <c r="U144" s="16">
        <v>1.3882352941176471E-2</v>
      </c>
      <c r="V144" s="6">
        <v>5.9380882352941162</v>
      </c>
      <c r="W144" s="6">
        <v>0.9049999999999998</v>
      </c>
      <c r="X144" s="6">
        <v>9.7195294117647055</v>
      </c>
      <c r="Y144" s="6">
        <v>6.3794117647058821E-2</v>
      </c>
      <c r="Z144" s="6">
        <v>0.2226176470588235</v>
      </c>
      <c r="AA144" s="6">
        <v>0.14944117647058822</v>
      </c>
      <c r="AB144" s="6">
        <v>0.14755882352941174</v>
      </c>
      <c r="AC144" s="6">
        <v>4.9870294117647056</v>
      </c>
      <c r="AD144" s="6">
        <v>5.9382352941176463E-2</v>
      </c>
      <c r="AE144" s="6">
        <v>0.14226470588235293</v>
      </c>
      <c r="AF144" s="6">
        <v>0.10923529411764704</v>
      </c>
      <c r="AG144" s="6">
        <v>5.7294117647058822E-2</v>
      </c>
      <c r="AH144" s="6">
        <v>0.68608823529411755</v>
      </c>
      <c r="AI144" s="6">
        <v>0.1286176470588235</v>
      </c>
      <c r="AJ144" s="6">
        <v>1.1802058823529411</v>
      </c>
    </row>
    <row r="145" spans="1:36" x14ac:dyDescent="0.25">
      <c r="A145" s="8" t="s">
        <v>194</v>
      </c>
      <c r="B145" s="27" t="s">
        <v>531</v>
      </c>
      <c r="C145" s="8" t="s">
        <v>146</v>
      </c>
      <c r="D145" s="8" t="s">
        <v>159</v>
      </c>
      <c r="E145" s="8">
        <v>2</v>
      </c>
      <c r="F145" s="8" t="s">
        <v>15</v>
      </c>
      <c r="G145" s="8" t="s">
        <v>1012</v>
      </c>
      <c r="H145" s="5">
        <f t="shared" si="2"/>
        <v>47.580794117647052</v>
      </c>
      <c r="I145" s="6">
        <v>5.3294117647058818E-2</v>
      </c>
      <c r="J145" s="6">
        <v>0.26867647058823529</v>
      </c>
      <c r="K145" s="6">
        <v>0.24449999999999997</v>
      </c>
      <c r="L145" s="6">
        <v>0</v>
      </c>
      <c r="M145" s="6">
        <v>0.10279411764705883</v>
      </c>
      <c r="N145" s="6">
        <v>7.5610294117647046</v>
      </c>
      <c r="O145" s="6">
        <v>0.19029411764705878</v>
      </c>
      <c r="P145" s="6">
        <v>0.5766470588235294</v>
      </c>
      <c r="Q145" s="6">
        <v>0.42791176470588232</v>
      </c>
      <c r="R145" s="6">
        <v>0.15797058823529411</v>
      </c>
      <c r="S145" s="16">
        <v>7.1571470588235284</v>
      </c>
      <c r="T145" s="16">
        <v>5.7941176470588229E-3</v>
      </c>
      <c r="U145" s="16">
        <v>8.0882352941176461E-3</v>
      </c>
      <c r="V145" s="6">
        <v>16.850764705882352</v>
      </c>
      <c r="W145" s="6">
        <v>1.1765588235294118</v>
      </c>
      <c r="X145" s="6">
        <v>6.4576470588235297</v>
      </c>
      <c r="Y145" s="6">
        <v>3.7147058823529408E-2</v>
      </c>
      <c r="Z145" s="6">
        <v>0.21682352941176466</v>
      </c>
      <c r="AA145" s="6">
        <v>0.11294117647058821</v>
      </c>
      <c r="AB145" s="6">
        <v>0.12788235294117645</v>
      </c>
      <c r="AC145" s="6">
        <v>4.0426176470588233</v>
      </c>
      <c r="AD145" s="6">
        <v>3.4676470588235295E-2</v>
      </c>
      <c r="AE145" s="6">
        <v>0.10747058823529412</v>
      </c>
      <c r="AF145" s="6">
        <v>6.6970588235294101E-2</v>
      </c>
      <c r="AG145" s="6">
        <v>5.0117647058823524E-2</v>
      </c>
      <c r="AH145" s="6">
        <v>0.5242941176470588</v>
      </c>
      <c r="AI145" s="6">
        <v>0.11538235294117646</v>
      </c>
      <c r="AJ145" s="6">
        <v>0.90535294117647047</v>
      </c>
    </row>
    <row r="146" spans="1:36" x14ac:dyDescent="0.25">
      <c r="A146" s="7" t="s">
        <v>195</v>
      </c>
      <c r="B146" s="27" t="s">
        <v>532</v>
      </c>
      <c r="C146" s="8" t="s">
        <v>146</v>
      </c>
      <c r="D146" s="7" t="s">
        <v>161</v>
      </c>
      <c r="E146" s="7">
        <v>6</v>
      </c>
      <c r="F146" s="8" t="s">
        <v>15</v>
      </c>
      <c r="G146" s="8" t="s">
        <v>1012</v>
      </c>
      <c r="H146" s="5">
        <f t="shared" si="2"/>
        <v>76.900441176470565</v>
      </c>
      <c r="I146" s="6">
        <v>7.144117647058823E-2</v>
      </c>
      <c r="J146" s="6">
        <v>0.35497058823529409</v>
      </c>
      <c r="K146" s="6">
        <v>0.67891176470588233</v>
      </c>
      <c r="L146" s="6">
        <v>0</v>
      </c>
      <c r="M146" s="6">
        <v>0.15417647058823528</v>
      </c>
      <c r="N146" s="6">
        <v>13.33235294117647</v>
      </c>
      <c r="O146" s="6">
        <v>0.15605882352941175</v>
      </c>
      <c r="P146" s="6">
        <v>0.83467647058823524</v>
      </c>
      <c r="Q146" s="6">
        <v>1.5744117647058822</v>
      </c>
      <c r="R146" s="6">
        <v>0.17964705882352941</v>
      </c>
      <c r="S146" s="15">
        <v>8.4220000000000006</v>
      </c>
      <c r="T146" s="15">
        <v>0</v>
      </c>
      <c r="U146" s="15">
        <v>2.5999999999999999E-2</v>
      </c>
      <c r="V146" s="6">
        <v>29.999911764705882</v>
      </c>
      <c r="W146" s="6">
        <v>1.861441176470588</v>
      </c>
      <c r="X146" s="6">
        <v>11.016441176470588</v>
      </c>
      <c r="Y146" s="6">
        <v>5.9323529411764706E-2</v>
      </c>
      <c r="Z146" s="6">
        <v>0.3918823529411764</v>
      </c>
      <c r="AA146" s="6">
        <v>0.16555882352941176</v>
      </c>
      <c r="AB146" s="6">
        <v>0.26976470588235291</v>
      </c>
      <c r="AC146" s="6">
        <v>5.0156470588235287</v>
      </c>
      <c r="AD146" s="6">
        <v>2.8558823529411761E-2</v>
      </c>
      <c r="AE146" s="6">
        <v>0.1389705882352941</v>
      </c>
      <c r="AF146" s="6">
        <v>5.4764705882352938E-2</v>
      </c>
      <c r="AG146" s="6">
        <v>5.7117647058823523E-2</v>
      </c>
      <c r="AH146" s="6">
        <v>0.71299999999999997</v>
      </c>
      <c r="AI146" s="6">
        <v>0.13870588235294118</v>
      </c>
      <c r="AJ146" s="6">
        <v>1.2047058823529411</v>
      </c>
    </row>
    <row r="147" spans="1:36" x14ac:dyDescent="0.25">
      <c r="A147" s="7" t="s">
        <v>196</v>
      </c>
      <c r="B147" s="27" t="s">
        <v>533</v>
      </c>
      <c r="C147" s="8" t="s">
        <v>146</v>
      </c>
      <c r="D147" s="7" t="s">
        <v>163</v>
      </c>
      <c r="E147" s="7">
        <v>6</v>
      </c>
      <c r="F147" s="8" t="s">
        <v>15</v>
      </c>
      <c r="G147" s="8" t="s">
        <v>1012</v>
      </c>
      <c r="H147" s="5">
        <f t="shared" si="2"/>
        <v>70.899852941176462</v>
      </c>
      <c r="I147" s="6">
        <v>8.7617647058823522E-2</v>
      </c>
      <c r="J147" s="6">
        <v>0.35508823529411765</v>
      </c>
      <c r="K147" s="6">
        <v>1.152235294117647</v>
      </c>
      <c r="L147" s="6">
        <v>0</v>
      </c>
      <c r="M147" s="6">
        <v>0.12955882352941175</v>
      </c>
      <c r="N147" s="6">
        <v>17.173705882352941</v>
      </c>
      <c r="O147" s="6">
        <v>0.10994117647058822</v>
      </c>
      <c r="P147" s="6">
        <v>0.13379411764705881</v>
      </c>
      <c r="Q147" s="6">
        <v>2.2029999999999998</v>
      </c>
      <c r="R147" s="6">
        <v>0.16335294117647056</v>
      </c>
      <c r="S147" s="15">
        <v>8.5470000000000006</v>
      </c>
      <c r="T147" s="15">
        <v>1.4E-2</v>
      </c>
      <c r="U147" s="15">
        <v>2.8000000000000001E-2</v>
      </c>
      <c r="V147" s="6">
        <v>19.053499999999996</v>
      </c>
      <c r="W147" s="6">
        <v>1.4724117647058821</v>
      </c>
      <c r="X147" s="6">
        <v>12.837647058823528</v>
      </c>
      <c r="Y147" s="6">
        <v>6.985294117647059E-2</v>
      </c>
      <c r="Z147" s="6">
        <v>0.46499999999999991</v>
      </c>
      <c r="AA147" s="6">
        <v>0.15108823529411763</v>
      </c>
      <c r="AB147" s="6">
        <v>0.33135294117647057</v>
      </c>
      <c r="AC147" s="6">
        <v>4.2434705882352937</v>
      </c>
      <c r="AD147" s="6">
        <v>2.7617647058823528E-2</v>
      </c>
      <c r="AE147" s="6">
        <v>0.13120588235294114</v>
      </c>
      <c r="AF147" s="6">
        <v>5.7294117647058822E-2</v>
      </c>
      <c r="AG147" s="6">
        <v>6.4294117647058821E-2</v>
      </c>
      <c r="AH147" s="6">
        <v>0.6835</v>
      </c>
      <c r="AI147" s="6">
        <v>0.13988235294117646</v>
      </c>
      <c r="AJ147" s="6">
        <v>1.0744411764705881</v>
      </c>
    </row>
    <row r="148" spans="1:36" x14ac:dyDescent="0.25">
      <c r="A148" s="7" t="s">
        <v>197</v>
      </c>
      <c r="B148" s="27" t="s">
        <v>534</v>
      </c>
      <c r="C148" s="8" t="s">
        <v>146</v>
      </c>
      <c r="D148" s="7" t="s">
        <v>165</v>
      </c>
      <c r="E148" s="7">
        <v>6</v>
      </c>
      <c r="F148" s="8" t="s">
        <v>15</v>
      </c>
      <c r="G148" s="8" t="s">
        <v>1012</v>
      </c>
      <c r="H148" s="5">
        <f t="shared" si="2"/>
        <v>44.996705882352927</v>
      </c>
      <c r="I148" s="6">
        <v>6.0352941176470581E-2</v>
      </c>
      <c r="J148" s="6">
        <v>0.33326470588235291</v>
      </c>
      <c r="K148" s="6">
        <v>0.40170588235294119</v>
      </c>
      <c r="L148" s="6">
        <v>0</v>
      </c>
      <c r="M148" s="6">
        <v>0.13752941176470587</v>
      </c>
      <c r="N148" s="6">
        <v>8.5634411764705884</v>
      </c>
      <c r="O148" s="6">
        <v>9.9205882352941172E-2</v>
      </c>
      <c r="P148" s="6">
        <v>0.23538235294117646</v>
      </c>
      <c r="Q148" s="6">
        <v>0.60635294117647054</v>
      </c>
      <c r="R148" s="6">
        <v>0.17605882352941174</v>
      </c>
      <c r="S148" s="15">
        <v>8.1370000000000005</v>
      </c>
      <c r="T148" s="15">
        <v>0</v>
      </c>
      <c r="U148" s="15">
        <v>2.3E-2</v>
      </c>
      <c r="V148" s="6">
        <v>8.5537352941176454</v>
      </c>
      <c r="W148" s="6">
        <v>1.1894705882352941</v>
      </c>
      <c r="X148" s="6">
        <v>8.1143529411764703</v>
      </c>
      <c r="Y148" s="6">
        <v>5.3882352941176465E-2</v>
      </c>
      <c r="Z148" s="6">
        <v>0.16852941176470587</v>
      </c>
      <c r="AA148" s="6">
        <v>0.12973529411764706</v>
      </c>
      <c r="AB148" s="6">
        <v>0.13976470588235293</v>
      </c>
      <c r="AC148" s="6">
        <v>5.4093823529411766</v>
      </c>
      <c r="AD148" s="6">
        <v>2.976470588235294E-2</v>
      </c>
      <c r="AE148" s="6">
        <v>0.13858823529411765</v>
      </c>
      <c r="AF148" s="6">
        <v>7.2382352941176467E-2</v>
      </c>
      <c r="AG148" s="6">
        <v>5.1852941176470581E-2</v>
      </c>
      <c r="AH148" s="6">
        <v>0.64561764705882352</v>
      </c>
      <c r="AI148" s="6">
        <v>0.12620588235294117</v>
      </c>
      <c r="AJ148" s="6">
        <v>1.4001470588235292</v>
      </c>
    </row>
    <row r="149" spans="1:36" x14ac:dyDescent="0.25">
      <c r="A149" s="8" t="s">
        <v>198</v>
      </c>
      <c r="B149" s="27" t="s">
        <v>535</v>
      </c>
      <c r="C149" s="8" t="s">
        <v>146</v>
      </c>
      <c r="D149" s="8" t="s">
        <v>167</v>
      </c>
      <c r="E149" s="8">
        <v>6</v>
      </c>
      <c r="F149" s="8" t="s">
        <v>15</v>
      </c>
      <c r="G149" s="8" t="s">
        <v>1012</v>
      </c>
      <c r="H149" s="5">
        <f t="shared" si="2"/>
        <v>36.962823529411764</v>
      </c>
      <c r="I149" s="6">
        <v>5.8294117647058823E-2</v>
      </c>
      <c r="J149" s="6">
        <v>0.26908823529411763</v>
      </c>
      <c r="K149" s="6">
        <v>0.24867647058823528</v>
      </c>
      <c r="L149" s="6">
        <v>0</v>
      </c>
      <c r="M149" s="6">
        <v>0.1171470588235294</v>
      </c>
      <c r="N149" s="6">
        <v>7.5210882352941173</v>
      </c>
      <c r="O149" s="6">
        <v>0.10158823529411765</v>
      </c>
      <c r="P149" s="6">
        <v>0.19920588235294115</v>
      </c>
      <c r="Q149" s="6">
        <v>0.31714705882352939</v>
      </c>
      <c r="R149" s="6">
        <v>0.15464705882352942</v>
      </c>
      <c r="S149" s="16">
        <v>7.4440882352941173</v>
      </c>
      <c r="T149" s="16">
        <v>1.2058823529411764E-2</v>
      </c>
      <c r="U149" s="16">
        <v>2.7176470588235292E-2</v>
      </c>
      <c r="V149" s="6">
        <v>6.7303823529411764</v>
      </c>
      <c r="W149" s="6">
        <v>0.84258823529411764</v>
      </c>
      <c r="X149" s="6">
        <v>5.7273235294117644</v>
      </c>
      <c r="Y149" s="6">
        <v>4.8176470588235286E-2</v>
      </c>
      <c r="Z149" s="6">
        <v>0.11258823529411764</v>
      </c>
      <c r="AA149" s="6">
        <v>0.11488235294117645</v>
      </c>
      <c r="AB149" s="6">
        <v>0.11108823529411763</v>
      </c>
      <c r="AC149" s="6">
        <v>4.718323529411764</v>
      </c>
      <c r="AD149" s="6">
        <v>3.4058823529411759E-2</v>
      </c>
      <c r="AE149" s="6">
        <v>0.12720588235294117</v>
      </c>
      <c r="AF149" s="6">
        <v>6.9294117647058825E-2</v>
      </c>
      <c r="AG149" s="6">
        <v>4.2970588235294115E-2</v>
      </c>
      <c r="AH149" s="6">
        <v>0.60938235294117649</v>
      </c>
      <c r="AI149" s="6">
        <v>0.13235294117647056</v>
      </c>
      <c r="AJ149" s="6">
        <v>1.0720000000000001</v>
      </c>
    </row>
    <row r="150" spans="1:36" x14ac:dyDescent="0.25">
      <c r="A150" s="8" t="s">
        <v>199</v>
      </c>
      <c r="B150" s="27" t="s">
        <v>536</v>
      </c>
      <c r="C150" s="8" t="s">
        <v>146</v>
      </c>
      <c r="D150" s="8" t="s">
        <v>169</v>
      </c>
      <c r="E150" s="8">
        <v>6</v>
      </c>
      <c r="F150" s="8" t="s">
        <v>15</v>
      </c>
      <c r="G150" s="8" t="s">
        <v>1012</v>
      </c>
      <c r="H150" s="5">
        <f t="shared" si="2"/>
        <v>55.116264705882344</v>
      </c>
      <c r="I150" s="6">
        <v>6.438235294117646E-2</v>
      </c>
      <c r="J150" s="6">
        <v>0.28949999999999998</v>
      </c>
      <c r="K150" s="6">
        <v>0.75688235294117645</v>
      </c>
      <c r="L150" s="6">
        <v>0</v>
      </c>
      <c r="M150" s="6">
        <v>0.16279411764705881</v>
      </c>
      <c r="N150" s="6">
        <v>12.413088235294115</v>
      </c>
      <c r="O150" s="6">
        <v>3.3705882352941176E-2</v>
      </c>
      <c r="P150" s="6">
        <v>1.8147058823529412E-2</v>
      </c>
      <c r="Q150" s="6">
        <v>1.4882941176470588</v>
      </c>
      <c r="R150" s="6">
        <v>0.22138235294117647</v>
      </c>
      <c r="S150" s="16">
        <v>8.3599705882352939</v>
      </c>
      <c r="T150" s="16">
        <v>0</v>
      </c>
      <c r="U150" s="16">
        <v>0</v>
      </c>
      <c r="V150" s="6">
        <v>12.059764705882351</v>
      </c>
      <c r="W150" s="6">
        <v>1.1282058823529411</v>
      </c>
      <c r="X150" s="6">
        <v>12.014382352941174</v>
      </c>
      <c r="Y150" s="6">
        <v>6.1235294117647061E-2</v>
      </c>
      <c r="Z150" s="6">
        <v>0.43344117647058822</v>
      </c>
      <c r="AA150" s="6">
        <v>0.10832352941176471</v>
      </c>
      <c r="AB150" s="6">
        <v>0.21826470588235292</v>
      </c>
      <c r="AC150" s="6">
        <v>3.6707941176470587</v>
      </c>
      <c r="AD150" s="6">
        <v>4.226470588235294E-2</v>
      </c>
      <c r="AE150" s="6">
        <v>9.2882352941176458E-2</v>
      </c>
      <c r="AF150" s="6">
        <v>8.6264705882352924E-2</v>
      </c>
      <c r="AG150" s="6">
        <v>4.4235294117647053E-2</v>
      </c>
      <c r="AH150" s="6">
        <v>0.40920588235294114</v>
      </c>
      <c r="AI150" s="6">
        <v>8.955882352941176E-2</v>
      </c>
      <c r="AJ150" s="6">
        <v>0.84929411764705875</v>
      </c>
    </row>
    <row r="151" spans="1:36" x14ac:dyDescent="0.25">
      <c r="A151" s="7" t="s">
        <v>200</v>
      </c>
      <c r="B151" s="27" t="s">
        <v>537</v>
      </c>
      <c r="C151" s="8" t="s">
        <v>146</v>
      </c>
      <c r="D151" s="7" t="s">
        <v>141</v>
      </c>
      <c r="E151" s="7">
        <v>0</v>
      </c>
      <c r="F151" s="7" t="s">
        <v>16</v>
      </c>
      <c r="G151" s="8" t="s">
        <v>1012</v>
      </c>
      <c r="H151" s="5">
        <f t="shared" si="2"/>
        <v>52.787352941176465</v>
      </c>
      <c r="I151" s="6">
        <v>2.7294117647058823E-2</v>
      </c>
      <c r="J151" s="6">
        <v>0.23470588235294115</v>
      </c>
      <c r="K151" s="6">
        <v>0.41964705882352937</v>
      </c>
      <c r="L151" s="6">
        <v>0</v>
      </c>
      <c r="M151" s="6">
        <v>0.11920588235294116</v>
      </c>
      <c r="N151" s="6">
        <v>11.296529411764705</v>
      </c>
      <c r="O151" s="6">
        <v>0</v>
      </c>
      <c r="P151" s="6">
        <v>0</v>
      </c>
      <c r="Q151" s="6">
        <v>0.82047058823529406</v>
      </c>
      <c r="R151" s="6">
        <v>0.25358823529411761</v>
      </c>
      <c r="S151" s="15">
        <v>10.063000000000001</v>
      </c>
      <c r="T151" s="15">
        <v>0</v>
      </c>
      <c r="U151" s="15">
        <v>0</v>
      </c>
      <c r="V151" s="6">
        <v>6.518205882352941</v>
      </c>
      <c r="W151" s="6">
        <v>0.94149999999999989</v>
      </c>
      <c r="X151" s="6">
        <v>12.529088235294118</v>
      </c>
      <c r="Y151" s="6">
        <v>7.5235294117647053E-2</v>
      </c>
      <c r="Z151" s="6">
        <v>0.27258823529411763</v>
      </c>
      <c r="AA151" s="6">
        <v>0.12947058823529409</v>
      </c>
      <c r="AB151" s="6">
        <v>0.19373529411764703</v>
      </c>
      <c r="AC151" s="6">
        <v>6.4627058823529406</v>
      </c>
      <c r="AD151" s="6">
        <v>1.3941176470588235E-2</v>
      </c>
      <c r="AE151" s="6">
        <v>0.13308823529411762</v>
      </c>
      <c r="AF151" s="6">
        <v>0.10044117647058823</v>
      </c>
      <c r="AG151" s="6">
        <v>4.5470588235294117E-2</v>
      </c>
      <c r="AH151" s="6">
        <v>0.58117647058823529</v>
      </c>
      <c r="AI151" s="6">
        <v>0.10279411764705883</v>
      </c>
      <c r="AJ151" s="6">
        <v>1.4534705882352941</v>
      </c>
    </row>
    <row r="152" spans="1:36" x14ac:dyDescent="0.25">
      <c r="A152" s="7" t="s">
        <v>201</v>
      </c>
      <c r="B152" s="27" t="s">
        <v>538</v>
      </c>
      <c r="C152" s="8" t="s">
        <v>146</v>
      </c>
      <c r="D152" s="7" t="s">
        <v>143</v>
      </c>
      <c r="E152" s="7">
        <v>1</v>
      </c>
      <c r="F152" s="7" t="s">
        <v>16</v>
      </c>
      <c r="G152" s="8" t="s">
        <v>1012</v>
      </c>
      <c r="H152" s="5">
        <f t="shared" si="2"/>
        <v>101.36032352941174</v>
      </c>
      <c r="I152" s="6">
        <v>3.2000000000000001E-2</v>
      </c>
      <c r="J152" s="6">
        <v>0.24370588235294116</v>
      </c>
      <c r="K152" s="6">
        <v>0.39329411764705879</v>
      </c>
      <c r="L152" s="6">
        <v>0</v>
      </c>
      <c r="M152" s="6">
        <v>0.13441176470588234</v>
      </c>
      <c r="N152" s="6">
        <v>15.742911764705882</v>
      </c>
      <c r="O152" s="6">
        <v>0.87058823529411755</v>
      </c>
      <c r="P152" s="6">
        <v>2.0922941176470586</v>
      </c>
      <c r="Q152" s="6">
        <v>1.3799117647058823</v>
      </c>
      <c r="R152" s="6">
        <v>0.20505882352941177</v>
      </c>
      <c r="S152" s="15">
        <v>9.4550000000000001</v>
      </c>
      <c r="T152" s="15">
        <v>0</v>
      </c>
      <c r="U152" s="15">
        <v>0</v>
      </c>
      <c r="V152" s="6">
        <v>45.807294117647054</v>
      </c>
      <c r="W152" s="6">
        <v>2.6393529411764702</v>
      </c>
      <c r="X152" s="6">
        <v>13.472117647058822</v>
      </c>
      <c r="Y152" s="6">
        <v>7.9058823529411765E-2</v>
      </c>
      <c r="Z152" s="6">
        <v>0.58020588235294113</v>
      </c>
      <c r="AA152" s="6">
        <v>0.26902941176470585</v>
      </c>
      <c r="AB152" s="6">
        <v>0.25961764705882351</v>
      </c>
      <c r="AC152" s="6">
        <v>5.3012352941176459</v>
      </c>
      <c r="AD152" s="6">
        <v>1.5588235294117646E-2</v>
      </c>
      <c r="AE152" s="6">
        <v>0.17176470588235293</v>
      </c>
      <c r="AF152" s="6">
        <v>9.01470588235294E-2</v>
      </c>
      <c r="AG152" s="6">
        <v>4.044117647058823E-2</v>
      </c>
      <c r="AH152" s="6">
        <v>0.63588235294117645</v>
      </c>
      <c r="AI152" s="6">
        <v>9.611764705882353E-2</v>
      </c>
      <c r="AJ152" s="6">
        <v>1.3532941176470585</v>
      </c>
    </row>
    <row r="153" spans="1:36" x14ac:dyDescent="0.25">
      <c r="A153" s="7" t="s">
        <v>202</v>
      </c>
      <c r="B153" s="27" t="s">
        <v>539</v>
      </c>
      <c r="C153" s="8" t="s">
        <v>146</v>
      </c>
      <c r="D153" s="7" t="s">
        <v>145</v>
      </c>
      <c r="E153" s="7">
        <v>1</v>
      </c>
      <c r="F153" s="7" t="s">
        <v>16</v>
      </c>
      <c r="G153" s="8" t="s">
        <v>1012</v>
      </c>
      <c r="H153" s="5">
        <f t="shared" si="2"/>
        <v>129.1395294117647</v>
      </c>
      <c r="I153" s="6">
        <v>3.1411764705882354E-2</v>
      </c>
      <c r="J153" s="6">
        <v>0.23799999999999999</v>
      </c>
      <c r="K153" s="6">
        <v>0.70944117647058824</v>
      </c>
      <c r="L153" s="6">
        <v>0</v>
      </c>
      <c r="M153" s="6">
        <v>0.14694117647058821</v>
      </c>
      <c r="N153" s="6">
        <v>20.127676470588234</v>
      </c>
      <c r="O153" s="6">
        <v>0.6996470588235294</v>
      </c>
      <c r="P153" s="6">
        <v>2.3120588235294117</v>
      </c>
      <c r="Q153" s="6">
        <v>2.2640882352941172</v>
      </c>
      <c r="R153" s="6">
        <v>0.25899999999999995</v>
      </c>
      <c r="S153" s="15">
        <v>10.92</v>
      </c>
      <c r="T153" s="15">
        <v>0</v>
      </c>
      <c r="U153" s="15">
        <v>0</v>
      </c>
      <c r="V153" s="6">
        <v>58.850147058823524</v>
      </c>
      <c r="W153" s="6">
        <v>3.5734117647058823</v>
      </c>
      <c r="X153" s="6">
        <v>18.242941176470588</v>
      </c>
      <c r="Y153" s="6">
        <v>8.9882352941176469E-2</v>
      </c>
      <c r="Z153" s="6">
        <v>0.85588235294117632</v>
      </c>
      <c r="AA153" s="6">
        <v>0.26211764705882351</v>
      </c>
      <c r="AB153" s="6">
        <v>0.3534411764705882</v>
      </c>
      <c r="AC153" s="6">
        <v>6.6040294117647047</v>
      </c>
      <c r="AD153" s="6">
        <v>1.752941176470588E-2</v>
      </c>
      <c r="AE153" s="6">
        <v>0.15747058823529408</v>
      </c>
      <c r="AF153" s="6">
        <v>0.10561764705882351</v>
      </c>
      <c r="AG153" s="6">
        <v>4.8529411764705883E-2</v>
      </c>
      <c r="AH153" s="6">
        <v>0.60476470588235287</v>
      </c>
      <c r="AI153" s="6">
        <v>0.11385294117647059</v>
      </c>
      <c r="AJ153" s="6">
        <v>1.5516470588235294</v>
      </c>
    </row>
    <row r="154" spans="1:36" x14ac:dyDescent="0.25">
      <c r="A154" s="8" t="s">
        <v>203</v>
      </c>
      <c r="B154" s="27" t="s">
        <v>540</v>
      </c>
      <c r="C154" s="8" t="s">
        <v>146</v>
      </c>
      <c r="D154" s="8" t="s">
        <v>146</v>
      </c>
      <c r="E154" s="8">
        <v>1</v>
      </c>
      <c r="F154" s="8" t="s">
        <v>16</v>
      </c>
      <c r="G154" s="8" t="s">
        <v>1012</v>
      </c>
      <c r="H154" s="5">
        <f t="shared" si="2"/>
        <v>217.90361764705878</v>
      </c>
      <c r="I154" s="6">
        <v>0.18276470588235294</v>
      </c>
      <c r="J154" s="6">
        <v>0.869470588235294</v>
      </c>
      <c r="K154" s="6">
        <v>1.4063823529411763</v>
      </c>
      <c r="L154" s="6">
        <v>0</v>
      </c>
      <c r="M154" s="6">
        <v>0.34114705882352936</v>
      </c>
      <c r="N154" s="6">
        <v>38.330029411764698</v>
      </c>
      <c r="O154" s="6">
        <v>1.3810882352941174</v>
      </c>
      <c r="P154" s="6">
        <v>3.8443529411764703</v>
      </c>
      <c r="Q154" s="6">
        <v>3.0572941176470585</v>
      </c>
      <c r="R154" s="6">
        <v>0.60302941176470581</v>
      </c>
      <c r="S154" s="16">
        <v>21.332676470588236</v>
      </c>
      <c r="T154" s="16">
        <v>0</v>
      </c>
      <c r="U154" s="16">
        <v>1.8352941176470586E-2</v>
      </c>
      <c r="V154" s="6">
        <v>87.517029411764696</v>
      </c>
      <c r="W154" s="6">
        <v>4.5437941176470584</v>
      </c>
      <c r="X154" s="6">
        <v>34.678882352941173</v>
      </c>
      <c r="Y154" s="6">
        <v>0.18323529411764705</v>
      </c>
      <c r="Z154" s="6">
        <v>1.5764705882352941</v>
      </c>
      <c r="AA154" s="6">
        <v>0.57294117647058818</v>
      </c>
      <c r="AB154" s="6">
        <v>0.90570588235294103</v>
      </c>
      <c r="AC154" s="6">
        <v>11.32670588235294</v>
      </c>
      <c r="AD154" s="6">
        <v>5.45E-2</v>
      </c>
      <c r="AE154" s="6">
        <v>0.38029411764705878</v>
      </c>
      <c r="AF154" s="6">
        <v>0.18755882352941172</v>
      </c>
      <c r="AG154" s="6">
        <v>0.12685294117647058</v>
      </c>
      <c r="AH154" s="6">
        <v>1.5737941176470585</v>
      </c>
      <c r="AI154" s="6">
        <v>0.28705882352941176</v>
      </c>
      <c r="AJ154" s="6">
        <v>2.6222058823529406</v>
      </c>
    </row>
    <row r="155" spans="1:36" x14ac:dyDescent="0.25">
      <c r="A155" s="8" t="s">
        <v>204</v>
      </c>
      <c r="B155" s="27" t="s">
        <v>541</v>
      </c>
      <c r="C155" s="8" t="s">
        <v>146</v>
      </c>
      <c r="D155" s="8" t="s">
        <v>149</v>
      </c>
      <c r="E155" s="8">
        <v>1</v>
      </c>
      <c r="F155" s="8" t="s">
        <v>16</v>
      </c>
      <c r="G155" s="8" t="s">
        <v>1012</v>
      </c>
      <c r="H155" s="5">
        <f t="shared" si="2"/>
        <v>252.84197058823523</v>
      </c>
      <c r="I155" s="6">
        <v>0.17473529411764704</v>
      </c>
      <c r="J155" s="6">
        <v>0.6266176470588235</v>
      </c>
      <c r="K155" s="6">
        <v>1.1106470588235293</v>
      </c>
      <c r="L155" s="6">
        <v>0</v>
      </c>
      <c r="M155" s="6">
        <v>0.30547058823529405</v>
      </c>
      <c r="N155" s="6">
        <v>39.887823529411762</v>
      </c>
      <c r="O155" s="6">
        <v>1.3130588235294116</v>
      </c>
      <c r="P155" s="6">
        <v>4.4537352941176467</v>
      </c>
      <c r="Q155" s="6">
        <v>2.6384117647058822</v>
      </c>
      <c r="R155" s="6">
        <v>0.62805882352941178</v>
      </c>
      <c r="S155" s="16">
        <v>25.482970588235293</v>
      </c>
      <c r="T155" s="16">
        <v>4.411764705882352E-4</v>
      </c>
      <c r="U155" s="16">
        <v>1.8882352941176472E-2</v>
      </c>
      <c r="V155" s="6">
        <v>116.92702941176469</v>
      </c>
      <c r="W155" s="6">
        <v>5.3859411764705882</v>
      </c>
      <c r="X155" s="6">
        <v>33.890529411764703</v>
      </c>
      <c r="Y155" s="6">
        <v>0.16599999999999998</v>
      </c>
      <c r="Z155" s="6">
        <v>1.4713529411764705</v>
      </c>
      <c r="AA155" s="6">
        <v>0.62591176470588228</v>
      </c>
      <c r="AB155" s="6">
        <v>0.61638235294117649</v>
      </c>
      <c r="AC155" s="6">
        <v>12.638794117647057</v>
      </c>
      <c r="AD155" s="6">
        <v>3.2529411764705883E-2</v>
      </c>
      <c r="AE155" s="6">
        <v>0.34879411764705881</v>
      </c>
      <c r="AF155" s="6">
        <v>0.18829411764705878</v>
      </c>
      <c r="AG155" s="6">
        <v>7.9852941176470585E-2</v>
      </c>
      <c r="AH155" s="6">
        <v>1.0721764705882351</v>
      </c>
      <c r="AI155" s="6">
        <v>0.18564705882352939</v>
      </c>
      <c r="AJ155" s="6">
        <v>2.5718823529411763</v>
      </c>
    </row>
    <row r="156" spans="1:36" x14ac:dyDescent="0.25">
      <c r="A156" s="7" t="s">
        <v>205</v>
      </c>
      <c r="B156" s="27" t="s">
        <v>542</v>
      </c>
      <c r="C156" s="8" t="s">
        <v>146</v>
      </c>
      <c r="D156" s="7" t="s">
        <v>151</v>
      </c>
      <c r="E156" s="7">
        <v>2</v>
      </c>
      <c r="F156" s="8" t="s">
        <v>16</v>
      </c>
      <c r="G156" s="8" t="s">
        <v>1012</v>
      </c>
      <c r="H156" s="5">
        <f t="shared" si="2"/>
        <v>59.547029411764711</v>
      </c>
      <c r="I156" s="6">
        <v>2.3235294117647059E-2</v>
      </c>
      <c r="J156" s="6">
        <v>0.23449999999999996</v>
      </c>
      <c r="K156" s="6">
        <v>0.29923529411764704</v>
      </c>
      <c r="L156" s="6">
        <v>0</v>
      </c>
      <c r="M156" s="6">
        <v>9.4941176470588237E-2</v>
      </c>
      <c r="N156" s="6">
        <v>10.486647058823529</v>
      </c>
      <c r="O156" s="6">
        <v>0.38052941176470584</v>
      </c>
      <c r="P156" s="6">
        <v>0.90952941176470581</v>
      </c>
      <c r="Q156" s="6">
        <v>0.53611764705882348</v>
      </c>
      <c r="R156" s="6">
        <v>0.16894117647058821</v>
      </c>
      <c r="S156" s="15">
        <v>7.681</v>
      </c>
      <c r="T156" s="15">
        <v>0</v>
      </c>
      <c r="U156" s="15">
        <v>0</v>
      </c>
      <c r="V156" s="6">
        <v>18.217735294117645</v>
      </c>
      <c r="W156" s="6">
        <v>1.2855882352941175</v>
      </c>
      <c r="X156" s="6">
        <v>11.608529411764705</v>
      </c>
      <c r="Y156" s="6">
        <v>7.8882352941176459E-2</v>
      </c>
      <c r="Z156" s="6">
        <v>0.41049999999999998</v>
      </c>
      <c r="AA156" s="6">
        <v>0.1565</v>
      </c>
      <c r="AB156" s="6">
        <v>0.18508823529411764</v>
      </c>
      <c r="AC156" s="6">
        <v>4.7600588235294117</v>
      </c>
      <c r="AD156" s="6">
        <v>7.5588235294117637E-3</v>
      </c>
      <c r="AE156" s="6">
        <v>0.12458823529411764</v>
      </c>
      <c r="AF156" s="6">
        <v>8.6911764705882341E-2</v>
      </c>
      <c r="AG156" s="6">
        <v>3.6264705882352942E-2</v>
      </c>
      <c r="AH156" s="6">
        <v>0.46658823529411764</v>
      </c>
      <c r="AI156" s="6">
        <v>6.4205882352941168E-2</v>
      </c>
      <c r="AJ156" s="6">
        <v>1.2433529411764705</v>
      </c>
    </row>
    <row r="157" spans="1:36" x14ac:dyDescent="0.25">
      <c r="A157" s="7" t="s">
        <v>206</v>
      </c>
      <c r="B157" s="27" t="s">
        <v>543</v>
      </c>
      <c r="C157" s="8" t="s">
        <v>146</v>
      </c>
      <c r="D157" s="7" t="s">
        <v>153</v>
      </c>
      <c r="E157" s="7">
        <v>2</v>
      </c>
      <c r="F157" s="8" t="s">
        <v>16</v>
      </c>
      <c r="G157" s="8" t="s">
        <v>1012</v>
      </c>
      <c r="H157" s="5">
        <f t="shared" si="2"/>
        <v>74.837676470588207</v>
      </c>
      <c r="I157" s="6">
        <v>2.7411764705882351E-2</v>
      </c>
      <c r="J157" s="6">
        <v>0.23823529411764705</v>
      </c>
      <c r="K157" s="6">
        <v>0.29582352941176471</v>
      </c>
      <c r="L157" s="6">
        <v>0</v>
      </c>
      <c r="M157" s="6">
        <v>0.13194117647058823</v>
      </c>
      <c r="N157" s="6">
        <v>15.524029411764705</v>
      </c>
      <c r="O157" s="6">
        <v>0.74708823529411761</v>
      </c>
      <c r="P157" s="6">
        <v>0.85658823529411754</v>
      </c>
      <c r="Q157" s="6">
        <v>0.54629411764705871</v>
      </c>
      <c r="R157" s="6">
        <v>0.21847058823529408</v>
      </c>
      <c r="S157" s="15">
        <v>13.202</v>
      </c>
      <c r="T157" s="15">
        <v>0</v>
      </c>
      <c r="U157" s="15">
        <v>0</v>
      </c>
      <c r="V157" s="6">
        <v>23.44855882352941</v>
      </c>
      <c r="W157" s="6">
        <v>1.4628823529411763</v>
      </c>
      <c r="X157" s="6">
        <v>10.541911764705882</v>
      </c>
      <c r="Y157" s="6">
        <v>6.1911764705882347E-2</v>
      </c>
      <c r="Z157" s="6">
        <v>0.32738235294117646</v>
      </c>
      <c r="AA157" s="6">
        <v>0.2416764705882353</v>
      </c>
      <c r="AB157" s="6">
        <v>0.17655882352941174</v>
      </c>
      <c r="AC157" s="6">
        <v>4.8584705882352939</v>
      </c>
      <c r="AD157" s="6">
        <v>8.8823529411764697E-3</v>
      </c>
      <c r="AE157" s="6">
        <v>0.14185294117647057</v>
      </c>
      <c r="AF157" s="6">
        <v>7.4205882352941163E-2</v>
      </c>
      <c r="AG157" s="6">
        <v>3.2264705882352938E-2</v>
      </c>
      <c r="AH157" s="6">
        <v>0.46935294117647053</v>
      </c>
      <c r="AI157" s="6">
        <v>7.4911764705882344E-2</v>
      </c>
      <c r="AJ157" s="6">
        <v>1.1289705882352941</v>
      </c>
    </row>
    <row r="158" spans="1:36" x14ac:dyDescent="0.25">
      <c r="A158" s="7" t="s">
        <v>207</v>
      </c>
      <c r="B158" s="27" t="s">
        <v>544</v>
      </c>
      <c r="C158" s="8" t="s">
        <v>146</v>
      </c>
      <c r="D158" s="7" t="s">
        <v>155</v>
      </c>
      <c r="E158" s="7">
        <v>2</v>
      </c>
      <c r="F158" s="8" t="s">
        <v>16</v>
      </c>
      <c r="G158" s="8" t="s">
        <v>1012</v>
      </c>
      <c r="H158" s="5">
        <f t="shared" si="2"/>
        <v>79.760558823529394</v>
      </c>
      <c r="I158" s="6">
        <v>6.2529411764705875E-2</v>
      </c>
      <c r="J158" s="6">
        <v>0.2833235294117647</v>
      </c>
      <c r="K158" s="6">
        <v>0.21697058823529411</v>
      </c>
      <c r="L158" s="6">
        <v>0</v>
      </c>
      <c r="M158" s="6">
        <v>0.14070588235294118</v>
      </c>
      <c r="N158" s="6">
        <v>12.170499999999999</v>
      </c>
      <c r="O158" s="6">
        <v>0.69785294117647056</v>
      </c>
      <c r="P158" s="6">
        <v>1.2608235294117647</v>
      </c>
      <c r="Q158" s="6">
        <v>0.47970588235294115</v>
      </c>
      <c r="R158" s="6">
        <v>0.22029411764705878</v>
      </c>
      <c r="S158" s="15">
        <v>8.98</v>
      </c>
      <c r="T158" s="15">
        <v>0</v>
      </c>
      <c r="U158" s="15">
        <v>0</v>
      </c>
      <c r="V158" s="6">
        <v>33.346088235294111</v>
      </c>
      <c r="W158" s="6">
        <v>2.1108823529411764</v>
      </c>
      <c r="X158" s="6">
        <v>10.892441176470587</v>
      </c>
      <c r="Y158" s="6">
        <v>6.2294117647058819E-2</v>
      </c>
      <c r="Z158" s="6">
        <v>0.32088235294117645</v>
      </c>
      <c r="AA158" s="6">
        <v>0.23602941176470588</v>
      </c>
      <c r="AB158" s="6">
        <v>0.23126470588235293</v>
      </c>
      <c r="AC158" s="6">
        <v>5.9301764705882345</v>
      </c>
      <c r="AD158" s="6">
        <v>1.3176470588235291E-2</v>
      </c>
      <c r="AE158" s="6">
        <v>0.14814705882352938</v>
      </c>
      <c r="AF158" s="6">
        <v>8.3499999999999991E-2</v>
      </c>
      <c r="AG158" s="6">
        <v>4.2147058823529412E-2</v>
      </c>
      <c r="AH158" s="6">
        <v>0.4596764705882353</v>
      </c>
      <c r="AI158" s="6">
        <v>7.9058823529411765E-2</v>
      </c>
      <c r="AJ158" s="6">
        <v>1.2920882352941174</v>
      </c>
    </row>
    <row r="159" spans="1:36" x14ac:dyDescent="0.25">
      <c r="A159" s="8" t="s">
        <v>208</v>
      </c>
      <c r="B159" s="27" t="s">
        <v>545</v>
      </c>
      <c r="C159" s="8" t="s">
        <v>146</v>
      </c>
      <c r="D159" s="8" t="s">
        <v>157</v>
      </c>
      <c r="E159" s="8">
        <v>2</v>
      </c>
      <c r="F159" s="8" t="s">
        <v>16</v>
      </c>
      <c r="G159" s="8" t="s">
        <v>1012</v>
      </c>
      <c r="H159" s="5">
        <f t="shared" si="2"/>
        <v>102.91485294117646</v>
      </c>
      <c r="I159" s="6">
        <v>0.17544117647058824</v>
      </c>
      <c r="J159" s="6">
        <v>0.77382352941176469</v>
      </c>
      <c r="K159" s="6">
        <v>0.92594117647058816</v>
      </c>
      <c r="L159" s="6">
        <v>0</v>
      </c>
      <c r="M159" s="6">
        <v>0.33041176470588229</v>
      </c>
      <c r="N159" s="6">
        <v>21.31755882352941</v>
      </c>
      <c r="O159" s="6">
        <v>0.41823529411764698</v>
      </c>
      <c r="P159" s="6">
        <v>0.69858823529411762</v>
      </c>
      <c r="Q159" s="6">
        <v>0.47335294117647053</v>
      </c>
      <c r="R159" s="6">
        <v>0.61058823529411765</v>
      </c>
      <c r="S159" s="16">
        <v>21.065941176470588</v>
      </c>
      <c r="T159" s="16">
        <v>2.3941176470588233E-2</v>
      </c>
      <c r="U159" s="16">
        <v>3.638235294117647E-2</v>
      </c>
      <c r="V159" s="6">
        <v>16.56641176470588</v>
      </c>
      <c r="W159" s="6">
        <v>1.5701764705882351</v>
      </c>
      <c r="X159" s="6">
        <v>21.60761764705882</v>
      </c>
      <c r="Y159" s="6">
        <v>0.1565</v>
      </c>
      <c r="Z159" s="6">
        <v>0.40835294117647053</v>
      </c>
      <c r="AA159" s="6">
        <v>0.311235294117647</v>
      </c>
      <c r="AB159" s="6">
        <v>0.24497058823529411</v>
      </c>
      <c r="AC159" s="6">
        <v>10.731794117647059</v>
      </c>
      <c r="AD159" s="6">
        <v>5.1794117647058824E-2</v>
      </c>
      <c r="AE159" s="6">
        <v>0.2895588235294117</v>
      </c>
      <c r="AF159" s="6">
        <v>0.18682352941176467</v>
      </c>
      <c r="AG159" s="6">
        <v>9.0705882352941164E-2</v>
      </c>
      <c r="AH159" s="6">
        <v>1.0818823529411763</v>
      </c>
      <c r="AI159" s="6">
        <v>0.19326470588235295</v>
      </c>
      <c r="AJ159" s="6">
        <v>2.5735588235294116</v>
      </c>
    </row>
    <row r="160" spans="1:36" x14ac:dyDescent="0.25">
      <c r="A160" s="8" t="s">
        <v>209</v>
      </c>
      <c r="B160" s="27" t="s">
        <v>546</v>
      </c>
      <c r="C160" s="8" t="s">
        <v>146</v>
      </c>
      <c r="D160" s="8" t="s">
        <v>159</v>
      </c>
      <c r="E160" s="8">
        <v>2</v>
      </c>
      <c r="F160" s="8" t="s">
        <v>16</v>
      </c>
      <c r="G160" s="8" t="s">
        <v>1012</v>
      </c>
      <c r="H160" s="5">
        <f t="shared" si="2"/>
        <v>149.20317647058826</v>
      </c>
      <c r="I160" s="6">
        <v>0.15008823529411763</v>
      </c>
      <c r="J160" s="6">
        <v>0.59544117647058814</v>
      </c>
      <c r="K160" s="6">
        <v>0.44232352941176467</v>
      </c>
      <c r="L160" s="6">
        <v>0</v>
      </c>
      <c r="M160" s="6">
        <v>0.27652941176470586</v>
      </c>
      <c r="N160" s="6">
        <v>24.63697058823529</v>
      </c>
      <c r="O160" s="6">
        <v>2.9444705882352937</v>
      </c>
      <c r="P160" s="6">
        <v>3.3496470588235288</v>
      </c>
      <c r="Q160" s="6">
        <v>0.7795294117647058</v>
      </c>
      <c r="R160" s="6">
        <v>0.5388235294117647</v>
      </c>
      <c r="S160" s="16">
        <v>22.998941176470584</v>
      </c>
      <c r="T160" s="16">
        <v>6.8558823529411755E-2</v>
      </c>
      <c r="U160" s="16">
        <v>9.5735294117647057E-2</v>
      </c>
      <c r="V160" s="6">
        <v>48.964352941176472</v>
      </c>
      <c r="W160" s="6">
        <v>2.8391470588235292</v>
      </c>
      <c r="X160" s="6">
        <v>21.095941176470586</v>
      </c>
      <c r="Y160" s="6">
        <v>0.12867647058823528</v>
      </c>
      <c r="Z160" s="6">
        <v>0.5340588235294117</v>
      </c>
      <c r="AA160" s="6">
        <v>0.43555882352941172</v>
      </c>
      <c r="AB160" s="6">
        <v>0.34320588235294114</v>
      </c>
      <c r="AC160" s="6">
        <v>13.291970588235293</v>
      </c>
      <c r="AD160" s="6">
        <v>3.0058823529411763E-2</v>
      </c>
      <c r="AE160" s="6">
        <v>0.33276470588235291</v>
      </c>
      <c r="AF160" s="6">
        <v>0.19279411764705881</v>
      </c>
      <c r="AG160" s="6">
        <v>7.6735294117647054E-2</v>
      </c>
      <c r="AH160" s="6">
        <v>1.0915588235294118</v>
      </c>
      <c r="AI160" s="6">
        <v>0.19285294117647059</v>
      </c>
      <c r="AJ160" s="6">
        <v>2.7764411764705881</v>
      </c>
    </row>
    <row r="161" spans="1:36" x14ac:dyDescent="0.25">
      <c r="A161" s="7" t="s">
        <v>210</v>
      </c>
      <c r="B161" s="27" t="s">
        <v>547</v>
      </c>
      <c r="C161" s="8" t="s">
        <v>146</v>
      </c>
      <c r="D161" s="7" t="s">
        <v>161</v>
      </c>
      <c r="E161" s="7">
        <v>6</v>
      </c>
      <c r="F161" s="8" t="s">
        <v>16</v>
      </c>
      <c r="G161" s="8" t="s">
        <v>1012</v>
      </c>
      <c r="H161" s="5">
        <f t="shared" si="2"/>
        <v>129.2046470588235</v>
      </c>
      <c r="I161" s="6">
        <v>6.4823529411764697E-2</v>
      </c>
      <c r="J161" s="6">
        <v>0.40905882352941175</v>
      </c>
      <c r="K161" s="6">
        <v>1.9237352941176471</v>
      </c>
      <c r="L161" s="6">
        <v>0</v>
      </c>
      <c r="M161" s="6">
        <v>0.17470588235294116</v>
      </c>
      <c r="N161" s="6">
        <v>28.734058823529409</v>
      </c>
      <c r="O161" s="6">
        <v>0.21438235294117644</v>
      </c>
      <c r="P161" s="6">
        <v>0.64947058823529402</v>
      </c>
      <c r="Q161" s="6">
        <v>4.6562352941176472</v>
      </c>
      <c r="R161" s="6">
        <v>0.29617647058823526</v>
      </c>
      <c r="S161" s="15">
        <v>14.122</v>
      </c>
      <c r="T161" s="15">
        <v>0</v>
      </c>
      <c r="U161" s="15">
        <v>7.5999999999999998E-2</v>
      </c>
      <c r="V161" s="6">
        <v>42.242058823529405</v>
      </c>
      <c r="W161" s="6">
        <v>3.0578235294117646</v>
      </c>
      <c r="X161" s="6">
        <v>22.220999999999997</v>
      </c>
      <c r="Y161" s="6">
        <v>9.217647058823529E-2</v>
      </c>
      <c r="Z161" s="6">
        <v>0.88114705882352939</v>
      </c>
      <c r="AA161" s="6">
        <v>0.25052941176470589</v>
      </c>
      <c r="AB161" s="6">
        <v>0.56264705882352939</v>
      </c>
      <c r="AC161" s="6">
        <v>5.9581176470588231</v>
      </c>
      <c r="AD161" s="6">
        <v>1.6911764705882352E-2</v>
      </c>
      <c r="AE161" s="6">
        <v>0.17711764705882352</v>
      </c>
      <c r="AF161" s="6">
        <v>7.5470588235294109E-2</v>
      </c>
      <c r="AG161" s="6">
        <v>5.005882352941176E-2</v>
      </c>
      <c r="AH161" s="6">
        <v>0.66891176470588232</v>
      </c>
      <c r="AI161" s="6">
        <v>0.12076470588235293</v>
      </c>
      <c r="AJ161" s="6">
        <v>1.5092647058823527</v>
      </c>
    </row>
    <row r="162" spans="1:36" x14ac:dyDescent="0.25">
      <c r="A162" s="7" t="s">
        <v>211</v>
      </c>
      <c r="B162" s="27" t="s">
        <v>548</v>
      </c>
      <c r="C162" s="8" t="s">
        <v>146</v>
      </c>
      <c r="D162" s="7" t="s">
        <v>163</v>
      </c>
      <c r="E162" s="7">
        <v>6</v>
      </c>
      <c r="F162" s="8" t="s">
        <v>16</v>
      </c>
      <c r="G162" s="8" t="s">
        <v>1012</v>
      </c>
      <c r="H162" s="5">
        <f t="shared" si="2"/>
        <v>37.469235294117652</v>
      </c>
      <c r="I162" s="6">
        <v>4.4705882352941172E-2</v>
      </c>
      <c r="J162" s="6">
        <v>0.26058823529411762</v>
      </c>
      <c r="K162" s="6">
        <v>0.3352941176470588</v>
      </c>
      <c r="L162" s="6">
        <v>0</v>
      </c>
      <c r="M162" s="6">
        <v>8.0470588235294113E-2</v>
      </c>
      <c r="N162" s="6">
        <v>7.4328235294117633</v>
      </c>
      <c r="O162" s="6">
        <v>0.14802941176470588</v>
      </c>
      <c r="P162" s="6">
        <v>0.19176470588235292</v>
      </c>
      <c r="Q162" s="6">
        <v>0.53488235294117636</v>
      </c>
      <c r="R162" s="6">
        <v>0.15473529411764703</v>
      </c>
      <c r="S162" s="15">
        <v>7.524</v>
      </c>
      <c r="T162" s="15">
        <v>3.5000000000000003E-2</v>
      </c>
      <c r="U162" s="15">
        <v>4.1000000000000002E-2</v>
      </c>
      <c r="V162" s="6">
        <v>5.9529411764705875</v>
      </c>
      <c r="W162" s="6">
        <v>0.76961764705882352</v>
      </c>
      <c r="X162" s="6">
        <v>7.4047058823529399</v>
      </c>
      <c r="Y162" s="6">
        <v>5.9676470588235289E-2</v>
      </c>
      <c r="Z162" s="6">
        <v>0.13300000000000001</v>
      </c>
      <c r="AA162" s="6">
        <v>0.10735294117647057</v>
      </c>
      <c r="AB162" s="6">
        <v>0.10455882352941175</v>
      </c>
      <c r="AC162" s="6">
        <v>4.4096764705882352</v>
      </c>
      <c r="AD162" s="6">
        <v>8.6176470588235285E-3</v>
      </c>
      <c r="AE162" s="6">
        <v>0.11561764705882352</v>
      </c>
      <c r="AF162" s="6">
        <v>7.1999999999999995E-2</v>
      </c>
      <c r="AG162" s="6">
        <v>4.1117647058823523E-2</v>
      </c>
      <c r="AH162" s="6">
        <v>0.42794117647058816</v>
      </c>
      <c r="AI162" s="6">
        <v>7.2058823529411759E-2</v>
      </c>
      <c r="AJ162" s="6">
        <v>1.0070588235294116</v>
      </c>
    </row>
    <row r="163" spans="1:36" x14ac:dyDescent="0.25">
      <c r="A163" s="7" t="s">
        <v>212</v>
      </c>
      <c r="B163" s="27" t="s">
        <v>549</v>
      </c>
      <c r="C163" s="8" t="s">
        <v>146</v>
      </c>
      <c r="D163" s="7" t="s">
        <v>165</v>
      </c>
      <c r="E163" s="7">
        <v>6</v>
      </c>
      <c r="F163" s="8" t="s">
        <v>16</v>
      </c>
      <c r="G163" s="8" t="s">
        <v>1012</v>
      </c>
      <c r="H163" s="5">
        <f t="shared" si="2"/>
        <v>40.921794117647053</v>
      </c>
      <c r="I163" s="6">
        <v>1.9882352941176469E-2</v>
      </c>
      <c r="J163" s="6">
        <v>0.1686470588235294</v>
      </c>
      <c r="K163" s="6">
        <v>0.28429411764705881</v>
      </c>
      <c r="L163" s="6">
        <v>0</v>
      </c>
      <c r="M163" s="6">
        <v>7.0617647058823521E-2</v>
      </c>
      <c r="N163" s="6">
        <v>11.119264705882351</v>
      </c>
      <c r="O163" s="6">
        <v>7.3117647058823523E-2</v>
      </c>
      <c r="P163" s="6">
        <v>0.31373529411764706</v>
      </c>
      <c r="Q163" s="6">
        <v>0.5210588235294118</v>
      </c>
      <c r="R163" s="6">
        <v>0.1246470588235294</v>
      </c>
      <c r="S163" s="15">
        <v>10.055999999999999</v>
      </c>
      <c r="T163" s="15">
        <v>0</v>
      </c>
      <c r="U163" s="15">
        <v>0.02</v>
      </c>
      <c r="V163" s="6">
        <v>5.6212647058823526</v>
      </c>
      <c r="W163" s="6">
        <v>0.70079411764705879</v>
      </c>
      <c r="X163" s="6">
        <v>5.895941176470588</v>
      </c>
      <c r="Y163" s="6">
        <v>4.5294117647058818E-2</v>
      </c>
      <c r="Z163" s="6">
        <v>0.11191176470588235</v>
      </c>
      <c r="AA163" s="6">
        <v>0.13005882352941175</v>
      </c>
      <c r="AB163" s="6">
        <v>9.8529411764705879E-2</v>
      </c>
      <c r="AC163" s="6">
        <v>3.987382352941176</v>
      </c>
      <c r="AD163" s="6">
        <v>7.5294117647058826E-3</v>
      </c>
      <c r="AE163" s="6">
        <v>9.4558823529411751E-2</v>
      </c>
      <c r="AF163" s="6">
        <v>4.808823529411764E-2</v>
      </c>
      <c r="AG163" s="6">
        <v>2.7823529411764702E-2</v>
      </c>
      <c r="AH163" s="6">
        <v>0.36664705882352938</v>
      </c>
      <c r="AI163" s="6">
        <v>7.2117647058823522E-2</v>
      </c>
      <c r="AJ163" s="6">
        <v>0.9425882352941175</v>
      </c>
    </row>
    <row r="164" spans="1:36" x14ac:dyDescent="0.25">
      <c r="A164" s="8" t="s">
        <v>213</v>
      </c>
      <c r="B164" s="27" t="s">
        <v>550</v>
      </c>
      <c r="C164" s="8" t="s">
        <v>146</v>
      </c>
      <c r="D164" s="8" t="s">
        <v>167</v>
      </c>
      <c r="E164" s="8">
        <v>6</v>
      </c>
      <c r="F164" s="8" t="s">
        <v>16</v>
      </c>
      <c r="G164" s="8" t="s">
        <v>1012</v>
      </c>
      <c r="H164" s="5">
        <f t="shared" si="2"/>
        <v>134.88288235294115</v>
      </c>
      <c r="I164" s="6">
        <v>0.18347058823529411</v>
      </c>
      <c r="J164" s="6">
        <v>0.75388235294117634</v>
      </c>
      <c r="K164" s="6">
        <v>1.8714411764705881</v>
      </c>
      <c r="L164" s="6">
        <v>0</v>
      </c>
      <c r="M164" s="6">
        <v>0.2802941176470588</v>
      </c>
      <c r="N164" s="6">
        <v>32.442352941176466</v>
      </c>
      <c r="O164" s="6">
        <v>0.17591176470588235</v>
      </c>
      <c r="P164" s="6">
        <v>0.34338235294117647</v>
      </c>
      <c r="Q164" s="6">
        <v>2.8417941176470585</v>
      </c>
      <c r="R164" s="6">
        <v>0.48088235294117643</v>
      </c>
      <c r="S164" s="16">
        <v>21.872323529411762</v>
      </c>
      <c r="T164" s="16">
        <v>3.1470588235294111E-2</v>
      </c>
      <c r="U164" s="16">
        <v>6.2088235294117645E-2</v>
      </c>
      <c r="V164" s="6">
        <v>25.516705882352937</v>
      </c>
      <c r="W164" s="6">
        <v>2.5270882352941175</v>
      </c>
      <c r="X164" s="6">
        <v>27.606911764705881</v>
      </c>
      <c r="Y164" s="6">
        <v>0.1671470588235294</v>
      </c>
      <c r="Z164" s="6">
        <v>0.85894117647058821</v>
      </c>
      <c r="AA164" s="6">
        <v>0.26688235294117646</v>
      </c>
      <c r="AB164" s="6">
        <v>0.40173529411764697</v>
      </c>
      <c r="AC164" s="6">
        <v>11.987735294117646</v>
      </c>
      <c r="AD164" s="6">
        <v>3.2823529411764703E-2</v>
      </c>
      <c r="AE164" s="6">
        <v>0.25905882352941179</v>
      </c>
      <c r="AF164" s="6">
        <v>0.15994117647058823</v>
      </c>
      <c r="AG164" s="6">
        <v>7.8941176470588223E-2</v>
      </c>
      <c r="AH164" s="6">
        <v>1.104676470588235</v>
      </c>
      <c r="AI164" s="6">
        <v>0.18770588235294117</v>
      </c>
      <c r="AJ164" s="6">
        <v>2.3872941176470586</v>
      </c>
    </row>
    <row r="165" spans="1:36" x14ac:dyDescent="0.25">
      <c r="A165" s="8" t="s">
        <v>214</v>
      </c>
      <c r="B165" s="27" t="s">
        <v>551</v>
      </c>
      <c r="C165" s="8" t="s">
        <v>146</v>
      </c>
      <c r="D165" s="8" t="s">
        <v>169</v>
      </c>
      <c r="E165" s="8">
        <v>6</v>
      </c>
      <c r="F165" s="8" t="s">
        <v>16</v>
      </c>
      <c r="G165" s="8" t="s">
        <v>1012</v>
      </c>
      <c r="H165" s="5">
        <f t="shared" si="2"/>
        <v>107.42476470588232</v>
      </c>
      <c r="I165" s="6">
        <v>0.1484705882352941</v>
      </c>
      <c r="J165" s="6">
        <v>0.6164705882352941</v>
      </c>
      <c r="K165" s="6">
        <v>0.67467647058823532</v>
      </c>
      <c r="L165" s="6">
        <v>0</v>
      </c>
      <c r="M165" s="6">
        <v>0.35735294117647054</v>
      </c>
      <c r="N165" s="6">
        <v>22.441294117647058</v>
      </c>
      <c r="O165" s="6">
        <v>8.5999999999999993E-2</v>
      </c>
      <c r="P165" s="6">
        <v>8.111764705882353E-2</v>
      </c>
      <c r="Q165" s="6">
        <v>0.94729411764705873</v>
      </c>
      <c r="R165" s="6">
        <v>0.67441176470588227</v>
      </c>
      <c r="S165" s="16">
        <v>24.458823529411767</v>
      </c>
      <c r="T165" s="16">
        <v>3.2764705882352939E-2</v>
      </c>
      <c r="U165" s="16">
        <v>1.7705882352941175E-2</v>
      </c>
      <c r="V165" s="6">
        <v>8.884941176470587</v>
      </c>
      <c r="W165" s="6">
        <v>1.7856176470588234</v>
      </c>
      <c r="X165" s="6">
        <v>23.75111764705882</v>
      </c>
      <c r="Y165" s="6">
        <v>0.19205882352941175</v>
      </c>
      <c r="Z165" s="6">
        <v>0.35438235294117643</v>
      </c>
      <c r="AA165" s="6">
        <v>0.2717941176470588</v>
      </c>
      <c r="AB165" s="6">
        <v>0.20649999999999996</v>
      </c>
      <c r="AC165" s="6">
        <v>15.880441176470587</v>
      </c>
      <c r="AD165" s="6">
        <v>4.4411764705882352E-2</v>
      </c>
      <c r="AE165" s="6">
        <v>0.31435294117647056</v>
      </c>
      <c r="AF165" s="6">
        <v>0.25464705882352939</v>
      </c>
      <c r="AG165" s="6">
        <v>8.1617647058823531E-2</v>
      </c>
      <c r="AH165" s="6">
        <v>1.3306176470588233</v>
      </c>
      <c r="AI165" s="6">
        <v>0.24364705882352938</v>
      </c>
      <c r="AJ165" s="6">
        <v>3.2922352941176465</v>
      </c>
    </row>
    <row r="166" spans="1:36" x14ac:dyDescent="0.25">
      <c r="A166" s="7" t="s">
        <v>215</v>
      </c>
      <c r="B166" s="27" t="s">
        <v>552</v>
      </c>
      <c r="C166" s="8" t="s">
        <v>146</v>
      </c>
      <c r="D166" s="7" t="s">
        <v>141</v>
      </c>
      <c r="E166" s="7">
        <v>0</v>
      </c>
      <c r="F166" s="7" t="s">
        <v>17</v>
      </c>
      <c r="G166" s="8" t="s">
        <v>1012</v>
      </c>
      <c r="H166" s="5">
        <f t="shared" si="2"/>
        <v>92.810823529411763</v>
      </c>
      <c r="I166" s="6">
        <v>9.5235294117647043E-2</v>
      </c>
      <c r="J166" s="6">
        <v>0.40570588235294114</v>
      </c>
      <c r="K166" s="6">
        <v>0.52714705882352941</v>
      </c>
      <c r="L166" s="6">
        <v>0</v>
      </c>
      <c r="M166" s="6">
        <v>0.15173529411764705</v>
      </c>
      <c r="N166" s="6">
        <v>21.956999999999997</v>
      </c>
      <c r="O166" s="6">
        <v>0</v>
      </c>
      <c r="P166" s="6">
        <v>0</v>
      </c>
      <c r="Q166" s="6">
        <v>1.4295</v>
      </c>
      <c r="R166" s="6">
        <v>0.27552941176470586</v>
      </c>
      <c r="S166" s="15">
        <v>11.629</v>
      </c>
      <c r="T166" s="15">
        <v>0</v>
      </c>
      <c r="U166" s="15">
        <v>0</v>
      </c>
      <c r="V166" s="6">
        <v>12.839294117647057</v>
      </c>
      <c r="W166" s="6">
        <v>2.0067352941176466</v>
      </c>
      <c r="X166" s="6">
        <v>17.452970588235292</v>
      </c>
      <c r="Y166" s="6">
        <v>0.18882352941176467</v>
      </c>
      <c r="Z166" s="6">
        <v>0.50444117647058817</v>
      </c>
      <c r="AA166" s="6">
        <v>6.5205882352941169E-2</v>
      </c>
      <c r="AB166" s="6">
        <v>0.19252941176470589</v>
      </c>
      <c r="AC166" s="6">
        <v>15.240941176470587</v>
      </c>
      <c r="AD166" s="6">
        <v>3.6411764705882352E-2</v>
      </c>
      <c r="AE166" s="6">
        <v>0.18747058823529411</v>
      </c>
      <c r="AF166" s="6">
        <v>0.23905882352941177</v>
      </c>
      <c r="AG166" s="6">
        <v>4.467647058823529E-2</v>
      </c>
      <c r="AH166" s="6">
        <v>0.3679705882352941</v>
      </c>
      <c r="AI166" s="6">
        <v>0.40485294117647053</v>
      </c>
      <c r="AJ166" s="6">
        <v>6.5685882352941167</v>
      </c>
    </row>
    <row r="167" spans="1:36" x14ac:dyDescent="0.25">
      <c r="A167" s="7" t="s">
        <v>216</v>
      </c>
      <c r="B167" s="27" t="s">
        <v>553</v>
      </c>
      <c r="C167" s="8" t="s">
        <v>146</v>
      </c>
      <c r="D167" s="7" t="s">
        <v>143</v>
      </c>
      <c r="E167" s="7">
        <v>1</v>
      </c>
      <c r="F167" s="7" t="s">
        <v>17</v>
      </c>
      <c r="G167" s="8" t="s">
        <v>1012</v>
      </c>
      <c r="H167" s="5">
        <f t="shared" si="2"/>
        <v>48.23752941176469</v>
      </c>
      <c r="I167" s="6">
        <v>4.926470588235294E-2</v>
      </c>
      <c r="J167" s="6">
        <v>0.18385294117647055</v>
      </c>
      <c r="K167" s="6">
        <v>0.25779411764705884</v>
      </c>
      <c r="L167" s="6">
        <v>0</v>
      </c>
      <c r="M167" s="6">
        <v>5.7235294117647058E-2</v>
      </c>
      <c r="N167" s="6">
        <v>11.921235294117645</v>
      </c>
      <c r="O167" s="6">
        <v>3.944117647058823E-2</v>
      </c>
      <c r="P167" s="6">
        <v>2.9588235294117644E-2</v>
      </c>
      <c r="Q167" s="6">
        <v>1.0233235294117646</v>
      </c>
      <c r="R167" s="6">
        <v>9.5823529411764696E-2</v>
      </c>
      <c r="S167" s="15">
        <v>6.202</v>
      </c>
      <c r="T167" s="15">
        <v>0</v>
      </c>
      <c r="U167" s="15">
        <v>0</v>
      </c>
      <c r="V167" s="6">
        <v>6.1542058823529402</v>
      </c>
      <c r="W167" s="6">
        <v>0.65085294117647052</v>
      </c>
      <c r="X167" s="6">
        <v>9.8321176470588227</v>
      </c>
      <c r="Y167" s="6">
        <v>0.25820588235294117</v>
      </c>
      <c r="Z167" s="6">
        <v>0.33708823529411763</v>
      </c>
      <c r="AA167" s="6">
        <v>7.3970588235294107E-2</v>
      </c>
      <c r="AB167" s="6">
        <v>6.7911764705882352E-2</v>
      </c>
      <c r="AC167" s="6">
        <v>6.9148235294117635</v>
      </c>
      <c r="AD167" s="6">
        <v>2.2882352941176468E-2</v>
      </c>
      <c r="AE167" s="6">
        <v>0.18820588235294117</v>
      </c>
      <c r="AF167" s="6">
        <v>0.1278235294117647</v>
      </c>
      <c r="AG167" s="6">
        <v>1.9970588235294115E-2</v>
      </c>
      <c r="AH167" s="6">
        <v>0.13329411764705881</v>
      </c>
      <c r="AI167" s="6">
        <v>0.11923529411764705</v>
      </c>
      <c r="AJ167" s="6">
        <v>3.4773823529411763</v>
      </c>
    </row>
    <row r="168" spans="1:36" x14ac:dyDescent="0.25">
      <c r="A168" s="7" t="s">
        <v>217</v>
      </c>
      <c r="B168" s="27" t="s">
        <v>554</v>
      </c>
      <c r="C168" s="8" t="s">
        <v>146</v>
      </c>
      <c r="D168" s="7" t="s">
        <v>145</v>
      </c>
      <c r="E168" s="7">
        <v>1</v>
      </c>
      <c r="F168" s="7" t="s">
        <v>17</v>
      </c>
      <c r="G168" s="8" t="s">
        <v>1012</v>
      </c>
      <c r="H168" s="5">
        <f t="shared" si="2"/>
        <v>116.39567647058823</v>
      </c>
      <c r="I168" s="6">
        <v>8.3352941176470588E-2</v>
      </c>
      <c r="J168" s="6">
        <v>0.45208823529411762</v>
      </c>
      <c r="K168" s="6">
        <v>0.64144117647058818</v>
      </c>
      <c r="L168" s="6">
        <v>0</v>
      </c>
      <c r="M168" s="6">
        <v>0.15626470588235292</v>
      </c>
      <c r="N168" s="6">
        <v>25.375735294117646</v>
      </c>
      <c r="O168" s="6">
        <v>3.7382352941176471E-2</v>
      </c>
      <c r="P168" s="6">
        <v>4.1617647058823523E-2</v>
      </c>
      <c r="Q168" s="6">
        <v>2.256794117647059</v>
      </c>
      <c r="R168" s="6">
        <v>0.2849411764705882</v>
      </c>
      <c r="S168" s="15">
        <v>13.744</v>
      </c>
      <c r="T168" s="15">
        <v>0</v>
      </c>
      <c r="U168" s="15">
        <v>0</v>
      </c>
      <c r="V168" s="6">
        <v>20.769352941176468</v>
      </c>
      <c r="W168" s="6">
        <v>2.8628529411764703</v>
      </c>
      <c r="X168" s="6">
        <v>22.510794117647055</v>
      </c>
      <c r="Y168" s="6">
        <v>0.23799999999999999</v>
      </c>
      <c r="Z168" s="6">
        <v>0.73979411764705871</v>
      </c>
      <c r="AA168" s="6">
        <v>6.6411764705882351E-2</v>
      </c>
      <c r="AB168" s="6">
        <v>0.26402941176470585</v>
      </c>
      <c r="AC168" s="6">
        <v>17.039911764705881</v>
      </c>
      <c r="AD168" s="6">
        <v>6.0411764705882345E-2</v>
      </c>
      <c r="AE168" s="6">
        <v>0.18623529411764705</v>
      </c>
      <c r="AF168" s="6">
        <v>0.27485294117647058</v>
      </c>
      <c r="AG168" s="6">
        <v>4.9294117647058822E-2</v>
      </c>
      <c r="AH168" s="6">
        <v>0.41726470588235287</v>
      </c>
      <c r="AI168" s="6">
        <v>0.43035294117647055</v>
      </c>
      <c r="AJ168" s="6">
        <v>7.4124999999999988</v>
      </c>
    </row>
    <row r="169" spans="1:36" x14ac:dyDescent="0.25">
      <c r="A169" s="8" t="s">
        <v>218</v>
      </c>
      <c r="B169" s="27" t="s">
        <v>555</v>
      </c>
      <c r="C169" s="8" t="s">
        <v>146</v>
      </c>
      <c r="D169" s="8" t="s">
        <v>146</v>
      </c>
      <c r="E169" s="8">
        <v>1</v>
      </c>
      <c r="F169" s="8" t="s">
        <v>17</v>
      </c>
      <c r="G169" s="8" t="s">
        <v>1012</v>
      </c>
      <c r="H169" s="5">
        <f t="shared" si="2"/>
        <v>280.31376470588236</v>
      </c>
      <c r="I169" s="6">
        <v>0.22229411764705878</v>
      </c>
      <c r="J169" s="6">
        <v>0.97423529411764687</v>
      </c>
      <c r="K169" s="6">
        <v>0.99017647058823521</v>
      </c>
      <c r="L169" s="6">
        <v>0</v>
      </c>
      <c r="M169" s="6">
        <v>0.48338235294117643</v>
      </c>
      <c r="N169" s="6">
        <v>69.927470588235295</v>
      </c>
      <c r="O169" s="6">
        <v>0.3766176470588235</v>
      </c>
      <c r="P169" s="6">
        <v>0.46041176470588235</v>
      </c>
      <c r="Q169" s="6">
        <v>3.1135294117647057</v>
      </c>
      <c r="R169" s="6">
        <v>1.1547647058823529</v>
      </c>
      <c r="S169" s="16">
        <v>41.808882352941175</v>
      </c>
      <c r="T169" s="16">
        <v>2.0676470588235293E-2</v>
      </c>
      <c r="U169" s="16">
        <v>4.4499999999999998E-2</v>
      </c>
      <c r="V169" s="6">
        <v>28.236470588235292</v>
      </c>
      <c r="W169" s="6">
        <v>4.1159411764705887</v>
      </c>
      <c r="X169" s="6">
        <v>57.884176470588237</v>
      </c>
      <c r="Y169" s="6">
        <v>0.8706176470588235</v>
      </c>
      <c r="Z169" s="6">
        <v>1.2230882352941175</v>
      </c>
      <c r="AA169" s="6">
        <v>0.74408823529411761</v>
      </c>
      <c r="AB169" s="6">
        <v>0.70838235294117646</v>
      </c>
      <c r="AC169" s="6">
        <v>44.668147058823529</v>
      </c>
      <c r="AD169" s="6">
        <v>0.13014705882352939</v>
      </c>
      <c r="AE169" s="6">
        <v>1.2487647058823528</v>
      </c>
      <c r="AF169" s="6">
        <v>0.71811764705882342</v>
      </c>
      <c r="AG169" s="6">
        <v>0.13297058823529412</v>
      </c>
      <c r="AH169" s="6">
        <v>0.84176470588235286</v>
      </c>
      <c r="AI169" s="6">
        <v>0.77570588235294102</v>
      </c>
      <c r="AJ169" s="6">
        <v>18.438441176470587</v>
      </c>
    </row>
    <row r="170" spans="1:36" x14ac:dyDescent="0.25">
      <c r="A170" s="8" t="s">
        <v>219</v>
      </c>
      <c r="B170" s="27" t="s">
        <v>556</v>
      </c>
      <c r="C170" s="8" t="s">
        <v>146</v>
      </c>
      <c r="D170" s="8" t="s">
        <v>149</v>
      </c>
      <c r="E170" s="8">
        <v>1</v>
      </c>
      <c r="F170" s="8" t="s">
        <v>17</v>
      </c>
      <c r="G170" s="8" t="s">
        <v>1012</v>
      </c>
      <c r="H170" s="5">
        <f t="shared" si="2"/>
        <v>341.50561764705884</v>
      </c>
      <c r="I170" s="6">
        <v>0.21576470588235291</v>
      </c>
      <c r="J170" s="6">
        <v>0.89082352941176457</v>
      </c>
      <c r="K170" s="6">
        <v>1.5646176470588236</v>
      </c>
      <c r="L170" s="6">
        <v>0</v>
      </c>
      <c r="M170" s="6">
        <v>0.4833529411764706</v>
      </c>
      <c r="N170" s="6">
        <v>80.640911764705876</v>
      </c>
      <c r="O170" s="6">
        <v>0.2467941176470588</v>
      </c>
      <c r="P170" s="6">
        <v>0.23073529411764707</v>
      </c>
      <c r="Q170" s="6">
        <v>5.9944117647058821</v>
      </c>
      <c r="R170" s="6">
        <v>0.9552647058823529</v>
      </c>
      <c r="S170" s="16">
        <v>40.119647058823524</v>
      </c>
      <c r="T170" s="16">
        <v>0</v>
      </c>
      <c r="U170" s="16">
        <v>3.1058823529411764E-2</v>
      </c>
      <c r="V170" s="6">
        <v>57.711352941176472</v>
      </c>
      <c r="W170" s="6">
        <v>6.9530882352941177</v>
      </c>
      <c r="X170" s="6">
        <v>68.315735294117644</v>
      </c>
      <c r="Y170" s="6">
        <v>0.81032352941176455</v>
      </c>
      <c r="Z170" s="6">
        <v>2.3072058823529411</v>
      </c>
      <c r="AA170" s="6">
        <v>0.19370588235294117</v>
      </c>
      <c r="AB170" s="6">
        <v>0.6580588235294117</v>
      </c>
      <c r="AC170" s="6">
        <v>48.828705882352935</v>
      </c>
      <c r="AD170" s="6">
        <v>0.17061764705882351</v>
      </c>
      <c r="AE170" s="6">
        <v>0.57938235294117646</v>
      </c>
      <c r="AF170" s="6">
        <v>0.60202941176470581</v>
      </c>
      <c r="AG170" s="6">
        <v>0.10752941176470587</v>
      </c>
      <c r="AH170" s="6">
        <v>1.2217058823529412</v>
      </c>
      <c r="AI170" s="6">
        <v>1.2172647058823529</v>
      </c>
      <c r="AJ170" s="6">
        <v>20.455529411764704</v>
      </c>
    </row>
    <row r="171" spans="1:36" x14ac:dyDescent="0.25">
      <c r="A171" s="7" t="s">
        <v>220</v>
      </c>
      <c r="B171" s="27" t="s">
        <v>557</v>
      </c>
      <c r="C171" s="8" t="s">
        <v>146</v>
      </c>
      <c r="D171" s="7" t="s">
        <v>151</v>
      </c>
      <c r="E171" s="7">
        <v>2</v>
      </c>
      <c r="F171" s="8" t="s">
        <v>17</v>
      </c>
      <c r="G171" s="8" t="s">
        <v>1012</v>
      </c>
      <c r="H171" s="5">
        <f t="shared" si="2"/>
        <v>136.25776470588232</v>
      </c>
      <c r="I171" s="6">
        <v>6.7264705882352935E-2</v>
      </c>
      <c r="J171" s="6">
        <v>0.39041176470588229</v>
      </c>
      <c r="K171" s="6">
        <v>0.60826470588235293</v>
      </c>
      <c r="L171" s="6">
        <v>0</v>
      </c>
      <c r="M171" s="6">
        <v>0.15908823529411764</v>
      </c>
      <c r="N171" s="6">
        <v>29.140205882352937</v>
      </c>
      <c r="O171" s="6">
        <v>0.38905882352941173</v>
      </c>
      <c r="P171" s="6">
        <v>0.43776470588235289</v>
      </c>
      <c r="Q171" s="6">
        <v>1.541441176470588</v>
      </c>
      <c r="R171" s="6">
        <v>0.29058823529411765</v>
      </c>
      <c r="S171" s="15">
        <v>17.058</v>
      </c>
      <c r="T171" s="15">
        <v>4.4999999999999998E-2</v>
      </c>
      <c r="U171" s="15">
        <v>5.3999999999999999E-2</v>
      </c>
      <c r="V171" s="6">
        <v>26.722970588235292</v>
      </c>
      <c r="W171" s="6">
        <v>2.0119411764705881</v>
      </c>
      <c r="X171" s="6">
        <v>27.433352941176466</v>
      </c>
      <c r="Y171" s="6">
        <v>0.5702647058823529</v>
      </c>
      <c r="Z171" s="6">
        <v>0.90155882352941175</v>
      </c>
      <c r="AA171" s="6">
        <v>0.23426470588235293</v>
      </c>
      <c r="AB171" s="6">
        <v>0.31129411764705883</v>
      </c>
      <c r="AC171" s="6">
        <v>16.283029411764705</v>
      </c>
      <c r="AD171" s="6">
        <v>8.5705882352941173E-2</v>
      </c>
      <c r="AE171" s="6">
        <v>0.48399999999999999</v>
      </c>
      <c r="AF171" s="6">
        <v>0.27141176470588235</v>
      </c>
      <c r="AG171" s="6">
        <v>6.1676470588235284E-2</v>
      </c>
      <c r="AH171" s="6">
        <v>0.38497058823529412</v>
      </c>
      <c r="AI171" s="6">
        <v>0.26285294117647057</v>
      </c>
      <c r="AJ171" s="6">
        <v>10.057382352941175</v>
      </c>
    </row>
    <row r="172" spans="1:36" x14ac:dyDescent="0.25">
      <c r="A172" s="7" t="s">
        <v>221</v>
      </c>
      <c r="B172" s="27" t="s">
        <v>558</v>
      </c>
      <c r="C172" s="8" t="s">
        <v>146</v>
      </c>
      <c r="D172" s="7" t="s">
        <v>153</v>
      </c>
      <c r="E172" s="7">
        <v>2</v>
      </c>
      <c r="F172" s="8" t="s">
        <v>17</v>
      </c>
      <c r="G172" s="8" t="s">
        <v>1012</v>
      </c>
      <c r="H172" s="5">
        <f t="shared" si="2"/>
        <v>84.002264705882368</v>
      </c>
      <c r="I172" s="6">
        <v>8.8647058823529398E-2</v>
      </c>
      <c r="J172" s="6">
        <v>0.31944117647058823</v>
      </c>
      <c r="K172" s="6">
        <v>0.40664705882352936</v>
      </c>
      <c r="L172" s="6">
        <v>0</v>
      </c>
      <c r="M172" s="6">
        <v>0.10673529411764705</v>
      </c>
      <c r="N172" s="6">
        <v>18.382205882352942</v>
      </c>
      <c r="O172" s="6">
        <v>0.14276470588235293</v>
      </c>
      <c r="P172" s="6">
        <v>0.18838235294117645</v>
      </c>
      <c r="Q172" s="6">
        <v>1.2534999999999998</v>
      </c>
      <c r="R172" s="6">
        <v>0.19994117647058821</v>
      </c>
      <c r="S172" s="15">
        <v>10.183</v>
      </c>
      <c r="T172" s="15">
        <v>2.9000000000000001E-2</v>
      </c>
      <c r="U172" s="15">
        <v>4.9000000000000002E-2</v>
      </c>
      <c r="V172" s="6">
        <v>15.562441176470585</v>
      </c>
      <c r="W172" s="6">
        <v>1.7337941176470586</v>
      </c>
      <c r="X172" s="6">
        <v>15.52020588235294</v>
      </c>
      <c r="Y172" s="6">
        <v>0.19414705882352939</v>
      </c>
      <c r="Z172" s="6">
        <v>0.44897058823529412</v>
      </c>
      <c r="AA172" s="6">
        <v>4.9647058823529405E-2</v>
      </c>
      <c r="AB172" s="6">
        <v>0.18282352941176469</v>
      </c>
      <c r="AC172" s="6">
        <v>12.144088235294117</v>
      </c>
      <c r="AD172" s="6">
        <v>3.9617647058823521E-2</v>
      </c>
      <c r="AE172" s="6">
        <v>0.15182352941176469</v>
      </c>
      <c r="AF172" s="6">
        <v>0.20694117647058824</v>
      </c>
      <c r="AG172" s="6">
        <v>3.1823529411764702E-2</v>
      </c>
      <c r="AH172" s="6">
        <v>0.28797058823529409</v>
      </c>
      <c r="AI172" s="6">
        <v>0.28055882352941175</v>
      </c>
      <c r="AJ172" s="6">
        <v>5.8181470588235289</v>
      </c>
    </row>
    <row r="173" spans="1:36" x14ac:dyDescent="0.25">
      <c r="A173" s="7" t="s">
        <v>222</v>
      </c>
      <c r="B173" s="27" t="s">
        <v>559</v>
      </c>
      <c r="C173" s="8" t="s">
        <v>146</v>
      </c>
      <c r="D173" s="7" t="s">
        <v>155</v>
      </c>
      <c r="E173" s="7">
        <v>2</v>
      </c>
      <c r="F173" s="8" t="s">
        <v>17</v>
      </c>
      <c r="G173" s="8" t="s">
        <v>1012</v>
      </c>
      <c r="H173" s="5">
        <f t="shared" si="2"/>
        <v>77.911088235294102</v>
      </c>
      <c r="I173" s="6">
        <v>0.10582352941176469</v>
      </c>
      <c r="J173" s="6">
        <v>0.42767647058823527</v>
      </c>
      <c r="K173" s="6">
        <v>0.43832352941176467</v>
      </c>
      <c r="L173" s="6">
        <v>0</v>
      </c>
      <c r="M173" s="6">
        <v>0.11991176470588234</v>
      </c>
      <c r="N173" s="6">
        <v>17.191911764705882</v>
      </c>
      <c r="O173" s="6">
        <v>0.12652941176470589</v>
      </c>
      <c r="P173" s="6">
        <v>0.22244117647058823</v>
      </c>
      <c r="Q173" s="6">
        <v>1.0816764705882351</v>
      </c>
      <c r="R173" s="6">
        <v>0.20108823529411762</v>
      </c>
      <c r="S173" s="15">
        <v>8.6349999999999998</v>
      </c>
      <c r="T173" s="15">
        <v>0</v>
      </c>
      <c r="U173" s="15">
        <v>2.9000000000000001E-2</v>
      </c>
      <c r="V173" s="6">
        <v>14.294941176470589</v>
      </c>
      <c r="W173" s="6">
        <v>1.5482941176470586</v>
      </c>
      <c r="X173" s="6">
        <v>15.438441176470587</v>
      </c>
      <c r="Y173" s="6">
        <v>0.18632352941176469</v>
      </c>
      <c r="Z173" s="6">
        <v>0.49267647058823522</v>
      </c>
      <c r="AA173" s="6">
        <v>5.2117647058823525E-2</v>
      </c>
      <c r="AB173" s="6">
        <v>0.15955882352941175</v>
      </c>
      <c r="AC173" s="6">
        <v>11.131970588235294</v>
      </c>
      <c r="AD173" s="6">
        <v>3.8529411764705881E-2</v>
      </c>
      <c r="AE173" s="6">
        <v>0.12491176470588235</v>
      </c>
      <c r="AF173" s="6">
        <v>0.1767941176470588</v>
      </c>
      <c r="AG173" s="6">
        <v>4.2970588235294115E-2</v>
      </c>
      <c r="AH173" s="6">
        <v>0.29158823529411765</v>
      </c>
      <c r="AI173" s="6">
        <v>0.27855882352941175</v>
      </c>
      <c r="AJ173" s="6">
        <v>5.0740294117647053</v>
      </c>
    </row>
    <row r="174" spans="1:36" x14ac:dyDescent="0.25">
      <c r="A174" s="8" t="s">
        <v>223</v>
      </c>
      <c r="B174" s="27" t="s">
        <v>560</v>
      </c>
      <c r="C174" s="8" t="s">
        <v>146</v>
      </c>
      <c r="D174" s="8" t="s">
        <v>157</v>
      </c>
      <c r="E174" s="8">
        <v>2</v>
      </c>
      <c r="F174" s="8" t="s">
        <v>17</v>
      </c>
      <c r="G174" s="8" t="s">
        <v>1012</v>
      </c>
      <c r="H174" s="5">
        <f t="shared" si="2"/>
        <v>303.68894117647062</v>
      </c>
      <c r="I174" s="6">
        <v>0.18994117647058822</v>
      </c>
      <c r="J174" s="6">
        <v>0.90117647058823525</v>
      </c>
      <c r="K174" s="6">
        <v>1.0296764705882353</v>
      </c>
      <c r="L174" s="6">
        <v>0</v>
      </c>
      <c r="M174" s="6">
        <v>0.49276470588235288</v>
      </c>
      <c r="N174" s="6">
        <v>76.260176470588235</v>
      </c>
      <c r="O174" s="6">
        <v>0.33044117647058824</v>
      </c>
      <c r="P174" s="6">
        <v>0.58744117647058813</v>
      </c>
      <c r="Q174" s="6">
        <v>3.0241764705882348</v>
      </c>
      <c r="R174" s="6">
        <v>1.1100882352941175</v>
      </c>
      <c r="S174" s="16">
        <v>42.311911764705876</v>
      </c>
      <c r="T174" s="16">
        <v>5.7735294117647058E-2</v>
      </c>
      <c r="U174" s="16">
        <v>6.7882352941176463E-2</v>
      </c>
      <c r="V174" s="6">
        <v>30.478176470588231</v>
      </c>
      <c r="W174" s="6">
        <v>3.870117647058823</v>
      </c>
      <c r="X174" s="6">
        <v>64.304411764705875</v>
      </c>
      <c r="Y174" s="6">
        <v>1.0437941176470587</v>
      </c>
      <c r="Z174" s="6">
        <v>1.4700588235294116</v>
      </c>
      <c r="AA174" s="6">
        <v>0.71929411764705875</v>
      </c>
      <c r="AB174" s="6">
        <v>0.67402941176470588</v>
      </c>
      <c r="AC174" s="6">
        <v>48.984117647058817</v>
      </c>
      <c r="AD174" s="6">
        <v>0.12052941176470588</v>
      </c>
      <c r="AE174" s="6">
        <v>1.4196764705882352</v>
      </c>
      <c r="AF174" s="6">
        <v>0.7919117647058822</v>
      </c>
      <c r="AG174" s="6">
        <v>0.11852941176470588</v>
      </c>
      <c r="AH174" s="6">
        <v>0.90173529411764686</v>
      </c>
      <c r="AI174" s="6">
        <v>0.77447058823529402</v>
      </c>
      <c r="AJ174" s="6">
        <v>21.654676470588232</v>
      </c>
    </row>
    <row r="175" spans="1:36" x14ac:dyDescent="0.25">
      <c r="A175" s="8" t="s">
        <v>224</v>
      </c>
      <c r="B175" s="27" t="s">
        <v>561</v>
      </c>
      <c r="C175" s="8" t="s">
        <v>146</v>
      </c>
      <c r="D175" s="8" t="s">
        <v>159</v>
      </c>
      <c r="E175" s="8">
        <v>2</v>
      </c>
      <c r="F175" s="8" t="s">
        <v>17</v>
      </c>
      <c r="G175" s="8" t="s">
        <v>1012</v>
      </c>
      <c r="H175" s="5">
        <f t="shared" si="2"/>
        <v>324.03394117647065</v>
      </c>
      <c r="I175" s="6">
        <v>0.21941176470588233</v>
      </c>
      <c r="J175" s="6">
        <v>0.93891176470588233</v>
      </c>
      <c r="K175" s="6">
        <v>1.6025294117647058</v>
      </c>
      <c r="L175" s="6">
        <v>0</v>
      </c>
      <c r="M175" s="6">
        <v>0.52844117647058819</v>
      </c>
      <c r="N175" s="6">
        <v>76.683088235294107</v>
      </c>
      <c r="O175" s="6">
        <v>1.2832647058823528</v>
      </c>
      <c r="P175" s="6">
        <v>1.7898235294117644</v>
      </c>
      <c r="Q175" s="6">
        <v>3.5006176470588231</v>
      </c>
      <c r="R175" s="6">
        <v>0.99352941176470577</v>
      </c>
      <c r="S175" s="16">
        <v>40.951735294117647</v>
      </c>
      <c r="T175" s="16">
        <v>0.1179705882352941</v>
      </c>
      <c r="U175" s="16">
        <v>0.16447058823529409</v>
      </c>
      <c r="V175" s="6">
        <v>50.485441176470587</v>
      </c>
      <c r="W175" s="6">
        <v>5.6982647058823526</v>
      </c>
      <c r="X175" s="6">
        <v>57.991911764705875</v>
      </c>
      <c r="Y175" s="6">
        <v>0.65902941176470575</v>
      </c>
      <c r="Z175" s="6">
        <v>1.5864411764705881</v>
      </c>
      <c r="AA175" s="6">
        <v>0.21649999999999997</v>
      </c>
      <c r="AB175" s="6">
        <v>0.51197058823529407</v>
      </c>
      <c r="AC175" s="6">
        <v>51.31905882352941</v>
      </c>
      <c r="AD175" s="6">
        <v>0.11335294117647057</v>
      </c>
      <c r="AE175" s="6">
        <v>0.61582352941176466</v>
      </c>
      <c r="AF175" s="6">
        <v>0.52782352941176469</v>
      </c>
      <c r="AG175" s="6">
        <v>0.10194117647058824</v>
      </c>
      <c r="AH175" s="6">
        <v>1.1429411764705881</v>
      </c>
      <c r="AI175" s="6">
        <v>1.3326764705882352</v>
      </c>
      <c r="AJ175" s="6">
        <v>22.956970588235293</v>
      </c>
    </row>
    <row r="176" spans="1:36" x14ac:dyDescent="0.25">
      <c r="A176" s="7" t="s">
        <v>225</v>
      </c>
      <c r="B176" s="27" t="s">
        <v>562</v>
      </c>
      <c r="C176" s="8" t="s">
        <v>146</v>
      </c>
      <c r="D176" s="7" t="s">
        <v>161</v>
      </c>
      <c r="E176" s="7">
        <v>6</v>
      </c>
      <c r="F176" s="8" t="s">
        <v>17</v>
      </c>
      <c r="G176" s="8" t="s">
        <v>1012</v>
      </c>
      <c r="H176" s="5">
        <f t="shared" si="2"/>
        <v>115.7320294117647</v>
      </c>
      <c r="I176" s="6">
        <v>0.12897058823529411</v>
      </c>
      <c r="J176" s="6">
        <v>0.49088235294117644</v>
      </c>
      <c r="K176" s="6">
        <v>0.62826470588235284</v>
      </c>
      <c r="L176" s="6">
        <v>0</v>
      </c>
      <c r="M176" s="6">
        <v>0.17958823529411763</v>
      </c>
      <c r="N176" s="6">
        <v>27.962647058823528</v>
      </c>
      <c r="O176" s="6">
        <v>0.21723529411764703</v>
      </c>
      <c r="P176" s="6">
        <v>0.37167647058823527</v>
      </c>
      <c r="Q176" s="6">
        <v>1.810970588235294</v>
      </c>
      <c r="R176" s="6">
        <v>0.31308823529411761</v>
      </c>
      <c r="S176" s="15">
        <v>11.97</v>
      </c>
      <c r="T176" s="15">
        <v>0</v>
      </c>
      <c r="U176" s="15">
        <v>6.7000000000000004E-2</v>
      </c>
      <c r="V176" s="6">
        <v>20.393676470588233</v>
      </c>
      <c r="W176" s="6">
        <v>2.514470588235294</v>
      </c>
      <c r="X176" s="6">
        <v>21.735911764705879</v>
      </c>
      <c r="Y176" s="6">
        <v>0.26058823529411762</v>
      </c>
      <c r="Z176" s="6">
        <v>0.57967647058823524</v>
      </c>
      <c r="AA176" s="6">
        <v>8.5294117647058826E-2</v>
      </c>
      <c r="AB176" s="6">
        <v>0.31173529411764705</v>
      </c>
      <c r="AC176" s="6">
        <v>16.588264705882352</v>
      </c>
      <c r="AD176" s="6">
        <v>5.5558823529411765E-2</v>
      </c>
      <c r="AE176" s="6">
        <v>0.19549999999999998</v>
      </c>
      <c r="AF176" s="6">
        <v>0.1275</v>
      </c>
      <c r="AG176" s="6">
        <v>4.8441176470588231E-2</v>
      </c>
      <c r="AH176" s="6">
        <v>0.49370588235294116</v>
      </c>
      <c r="AI176" s="6">
        <v>0.42291176470588232</v>
      </c>
      <c r="AJ176" s="6">
        <v>7.7784705882352938</v>
      </c>
    </row>
    <row r="177" spans="1:36" x14ac:dyDescent="0.25">
      <c r="A177" s="7" t="s">
        <v>226</v>
      </c>
      <c r="B177" s="27" t="s">
        <v>563</v>
      </c>
      <c r="C177" s="8" t="s">
        <v>146</v>
      </c>
      <c r="D177" s="7" t="s">
        <v>163</v>
      </c>
      <c r="E177" s="7">
        <v>6</v>
      </c>
      <c r="F177" s="8" t="s">
        <v>17</v>
      </c>
      <c r="G177" s="8" t="s">
        <v>1012</v>
      </c>
      <c r="H177" s="5">
        <f t="shared" si="2"/>
        <v>151.45411764705878</v>
      </c>
      <c r="I177" s="6">
        <v>7.1558823529411758E-2</v>
      </c>
      <c r="J177" s="6">
        <v>0.40638235294117642</v>
      </c>
      <c r="K177" s="6">
        <v>0.7649117647058824</v>
      </c>
      <c r="L177" s="6">
        <v>0</v>
      </c>
      <c r="M177" s="6">
        <v>0.20317647058823529</v>
      </c>
      <c r="N177" s="6">
        <v>32.700235294117647</v>
      </c>
      <c r="O177" s="6">
        <v>0.33858823529411763</v>
      </c>
      <c r="P177" s="6">
        <v>0.43673529411764705</v>
      </c>
      <c r="Q177" s="6">
        <v>2.7049705882352941</v>
      </c>
      <c r="R177" s="6">
        <v>0.32673529411764701</v>
      </c>
      <c r="S177" s="15">
        <v>15.067</v>
      </c>
      <c r="T177" s="15">
        <v>4.5999999999999999E-2</v>
      </c>
      <c r="U177" s="15">
        <v>8.1000000000000003E-2</v>
      </c>
      <c r="V177" s="6">
        <v>32.523264705882347</v>
      </c>
      <c r="W177" s="6">
        <v>2.7491176470588234</v>
      </c>
      <c r="X177" s="6">
        <v>31.759147058823526</v>
      </c>
      <c r="Y177" s="6">
        <v>0.59111764705882341</v>
      </c>
      <c r="Z177" s="6">
        <v>1.1548235294117646</v>
      </c>
      <c r="AA177" s="6">
        <v>9.3705882352941167E-2</v>
      </c>
      <c r="AB177" s="6">
        <v>0.28235294117647058</v>
      </c>
      <c r="AC177" s="6">
        <v>18.310764705882352</v>
      </c>
      <c r="AD177" s="6">
        <v>8.3941176470588227E-2</v>
      </c>
      <c r="AE177" s="6">
        <v>0.2198235294117647</v>
      </c>
      <c r="AF177" s="6">
        <v>0.40455882352941175</v>
      </c>
      <c r="AG177" s="6">
        <v>4.3470588235294115E-2</v>
      </c>
      <c r="AH177" s="6">
        <v>0.50885294117647051</v>
      </c>
      <c r="AI177" s="6">
        <v>0.40691176470588231</v>
      </c>
      <c r="AJ177" s="6">
        <v>9.1749705882352934</v>
      </c>
    </row>
    <row r="178" spans="1:36" x14ac:dyDescent="0.25">
      <c r="A178" s="7" t="s">
        <v>227</v>
      </c>
      <c r="B178" s="27" t="s">
        <v>564</v>
      </c>
      <c r="C178" s="8" t="s">
        <v>146</v>
      </c>
      <c r="D178" s="7" t="s">
        <v>165</v>
      </c>
      <c r="E178" s="7">
        <v>6</v>
      </c>
      <c r="F178" s="8" t="s">
        <v>17</v>
      </c>
      <c r="G178" s="8" t="s">
        <v>1012</v>
      </c>
      <c r="H178" s="5">
        <f t="shared" si="2"/>
        <v>135.46</v>
      </c>
      <c r="I178" s="6">
        <v>0.25911764705882351</v>
      </c>
      <c r="J178" s="6">
        <v>0.43952941176470584</v>
      </c>
      <c r="K178" s="6">
        <v>0.64411764705882346</v>
      </c>
      <c r="L178" s="6">
        <v>0</v>
      </c>
      <c r="M178" s="6">
        <v>0.22661764705882348</v>
      </c>
      <c r="N178" s="6">
        <v>30.745882352941173</v>
      </c>
      <c r="O178" s="6">
        <v>0.25041176470588233</v>
      </c>
      <c r="P178" s="6">
        <v>0.34341176470588236</v>
      </c>
      <c r="Q178" s="6">
        <v>1.6849705882352941</v>
      </c>
      <c r="R178" s="6">
        <v>0.32535294117647057</v>
      </c>
      <c r="S178" s="15">
        <v>16.318000000000001</v>
      </c>
      <c r="T178" s="15">
        <v>4.4999999999999998E-2</v>
      </c>
      <c r="U178" s="15">
        <v>9.2999999999999999E-2</v>
      </c>
      <c r="V178" s="6">
        <v>20.959794117647057</v>
      </c>
      <c r="W178" s="6">
        <v>2.4397647058823528</v>
      </c>
      <c r="X178" s="6">
        <v>25.06382352941176</v>
      </c>
      <c r="Y178" s="6">
        <v>0.30526470588235288</v>
      </c>
      <c r="Z178" s="6">
        <v>0.61729411764705877</v>
      </c>
      <c r="AA178" s="6">
        <v>0.11555882352941176</v>
      </c>
      <c r="AB178" s="6">
        <v>0.28220588235294114</v>
      </c>
      <c r="AC178" s="6">
        <v>21.417029411764705</v>
      </c>
      <c r="AD178" s="6">
        <v>5.202941176470588E-2</v>
      </c>
      <c r="AE178" s="6">
        <v>0.33464705882352941</v>
      </c>
      <c r="AF178" s="6">
        <v>0.27520588235294113</v>
      </c>
      <c r="AG178" s="6">
        <v>5.7882352941176468E-2</v>
      </c>
      <c r="AH178" s="6">
        <v>0.63152941176470578</v>
      </c>
      <c r="AI178" s="6">
        <v>0.5360588235294117</v>
      </c>
      <c r="AJ178" s="6">
        <v>10.996499999999999</v>
      </c>
    </row>
    <row r="179" spans="1:36" x14ac:dyDescent="0.25">
      <c r="A179" s="8" t="s">
        <v>228</v>
      </c>
      <c r="B179" s="27" t="s">
        <v>565</v>
      </c>
      <c r="C179" s="8" t="s">
        <v>146</v>
      </c>
      <c r="D179" s="8" t="s">
        <v>167</v>
      </c>
      <c r="E179" s="8">
        <v>6</v>
      </c>
      <c r="F179" s="8" t="s">
        <v>17</v>
      </c>
      <c r="G179" s="8" t="s">
        <v>1012</v>
      </c>
      <c r="H179" s="5">
        <f t="shared" si="2"/>
        <v>338.65429411764688</v>
      </c>
      <c r="I179" s="6">
        <v>0.18908823529411764</v>
      </c>
      <c r="J179" s="6">
        <v>0.89899999999999991</v>
      </c>
      <c r="K179" s="6">
        <v>1.3451176470588235</v>
      </c>
      <c r="L179" s="6">
        <v>0</v>
      </c>
      <c r="M179" s="6">
        <v>0.47520588235294109</v>
      </c>
      <c r="N179" s="6">
        <v>78.398735294117643</v>
      </c>
      <c r="O179" s="6">
        <v>0.71649999999999991</v>
      </c>
      <c r="P179" s="6">
        <v>1.1138235294117647</v>
      </c>
      <c r="Q179" s="6">
        <v>4.8578823529411759</v>
      </c>
      <c r="R179" s="6">
        <v>0.93105882352941172</v>
      </c>
      <c r="S179" s="16">
        <v>42.378823529411761</v>
      </c>
      <c r="T179" s="16">
        <v>0.1288235294117647</v>
      </c>
      <c r="U179" s="16">
        <v>0.32147058823529406</v>
      </c>
      <c r="V179" s="6">
        <v>55.332735294117647</v>
      </c>
      <c r="W179" s="6">
        <v>6.7644411764705881</v>
      </c>
      <c r="X179" s="6">
        <v>62.257441176470579</v>
      </c>
      <c r="Y179" s="6">
        <v>0.72097058823529403</v>
      </c>
      <c r="Z179" s="6">
        <v>1.8870588235294115</v>
      </c>
      <c r="AA179" s="6">
        <v>0.1896176470588235</v>
      </c>
      <c r="AB179" s="6">
        <v>0.62888235294117645</v>
      </c>
      <c r="AC179" s="6">
        <v>52.165764705882353</v>
      </c>
      <c r="AD179" s="6">
        <v>0.15170588235294116</v>
      </c>
      <c r="AE179" s="6">
        <v>0.61879411764705872</v>
      </c>
      <c r="AF179" s="6">
        <v>0.8624705882352941</v>
      </c>
      <c r="AG179" s="6">
        <v>0.10144117647058823</v>
      </c>
      <c r="AH179" s="6">
        <v>1.2128823529411765</v>
      </c>
      <c r="AI179" s="6">
        <v>1.2605</v>
      </c>
      <c r="AJ179" s="6">
        <v>22.744058823529411</v>
      </c>
    </row>
    <row r="180" spans="1:36" x14ac:dyDescent="0.25">
      <c r="A180" s="8" t="s">
        <v>229</v>
      </c>
      <c r="B180" s="27" t="s">
        <v>566</v>
      </c>
      <c r="C180" s="8" t="s">
        <v>146</v>
      </c>
      <c r="D180" s="8" t="s">
        <v>169</v>
      </c>
      <c r="E180" s="8">
        <v>6</v>
      </c>
      <c r="F180" s="8" t="s">
        <v>17</v>
      </c>
      <c r="G180" s="8" t="s">
        <v>1012</v>
      </c>
      <c r="H180" s="5">
        <f t="shared" si="2"/>
        <v>328.13905882352947</v>
      </c>
      <c r="I180" s="6">
        <v>0.19949999999999998</v>
      </c>
      <c r="J180" s="6">
        <v>1.0352941176470587</v>
      </c>
      <c r="K180" s="6">
        <v>1.4217058823529409</v>
      </c>
      <c r="L180" s="6">
        <v>0</v>
      </c>
      <c r="M180" s="6">
        <v>0.5292941176470588</v>
      </c>
      <c r="N180" s="6">
        <v>79.857588235294102</v>
      </c>
      <c r="O180" s="6">
        <v>0.3449411764705882</v>
      </c>
      <c r="P180" s="6">
        <v>0.24185294117647055</v>
      </c>
      <c r="Q180" s="6">
        <v>5.4949411764705873</v>
      </c>
      <c r="R180" s="6">
        <v>1.007705882352941</v>
      </c>
      <c r="S180" s="16">
        <v>35.700029411764703</v>
      </c>
      <c r="T180" s="16">
        <v>6.1588235294117645E-2</v>
      </c>
      <c r="U180" s="16">
        <v>4.6029411764705881E-2</v>
      </c>
      <c r="V180" s="6">
        <v>45.986205882352941</v>
      </c>
      <c r="W180" s="6">
        <v>5.6352352941176465</v>
      </c>
      <c r="X180" s="6">
        <v>71.965999999999994</v>
      </c>
      <c r="Y180" s="6">
        <v>0.82679411764705879</v>
      </c>
      <c r="Z180" s="6">
        <v>2.6263823529411763</v>
      </c>
      <c r="AA180" s="6">
        <v>0.15823529411764706</v>
      </c>
      <c r="AB180" s="6">
        <v>0.43544117647058816</v>
      </c>
      <c r="AC180" s="6">
        <v>46.326852941176469</v>
      </c>
      <c r="AD180" s="6">
        <v>0.15308823529411764</v>
      </c>
      <c r="AE180" s="6">
        <v>0.53476470588235292</v>
      </c>
      <c r="AF180" s="6">
        <v>0.74358823529411755</v>
      </c>
      <c r="AG180" s="6">
        <v>8.9029411764705871E-2</v>
      </c>
      <c r="AH180" s="6">
        <v>1.3097941176470587</v>
      </c>
      <c r="AI180" s="6">
        <v>1.2778823529411762</v>
      </c>
      <c r="AJ180" s="6">
        <v>24.129294117647056</v>
      </c>
    </row>
    <row r="181" spans="1:36" x14ac:dyDescent="0.25">
      <c r="A181" s="7" t="s">
        <v>230</v>
      </c>
      <c r="B181" s="27" t="s">
        <v>567</v>
      </c>
      <c r="C181" s="8" t="s">
        <v>146</v>
      </c>
      <c r="D181" s="7" t="s">
        <v>141</v>
      </c>
      <c r="E181" s="7">
        <v>0</v>
      </c>
      <c r="F181" s="7" t="s">
        <v>18</v>
      </c>
      <c r="G181" s="8" t="s">
        <v>1012</v>
      </c>
      <c r="H181" s="5">
        <f t="shared" si="2"/>
        <v>40.917882352941177</v>
      </c>
      <c r="I181" s="6">
        <v>2.2294117647058822E-2</v>
      </c>
      <c r="J181" s="6">
        <v>0.16929411764705882</v>
      </c>
      <c r="K181" s="6">
        <v>0.64097058823529407</v>
      </c>
      <c r="L181" s="6">
        <v>0</v>
      </c>
      <c r="M181" s="6">
        <v>0.10058823529411764</v>
      </c>
      <c r="N181" s="6">
        <v>15.134235294117646</v>
      </c>
      <c r="O181" s="6">
        <v>0</v>
      </c>
      <c r="P181" s="6">
        <v>0</v>
      </c>
      <c r="Q181" s="6">
        <v>1.1238235294117647</v>
      </c>
      <c r="R181" s="6">
        <v>0.10076470588235292</v>
      </c>
      <c r="S181" s="15">
        <v>5.43</v>
      </c>
      <c r="T181" s="15">
        <v>0</v>
      </c>
      <c r="U181" s="15">
        <v>0</v>
      </c>
      <c r="V181" s="6">
        <v>5.0000294117647055</v>
      </c>
      <c r="W181" s="6">
        <v>0.60691176470588237</v>
      </c>
      <c r="X181" s="6">
        <v>3.6703823529411763</v>
      </c>
      <c r="Y181" s="6">
        <v>0.10335294117647058</v>
      </c>
      <c r="Z181" s="6">
        <v>6.4764705882352946E-2</v>
      </c>
      <c r="AA181" s="6">
        <v>0.10979411764705882</v>
      </c>
      <c r="AB181" s="6">
        <v>0.1396470588235294</v>
      </c>
      <c r="AC181" s="6">
        <v>4.8170882352941176</v>
      </c>
      <c r="AD181" s="6">
        <v>7.8235294117647049E-3</v>
      </c>
      <c r="AE181" s="6">
        <v>0.17423529411764704</v>
      </c>
      <c r="AF181" s="6">
        <v>3.6470588235294116E-2</v>
      </c>
      <c r="AG181" s="6">
        <v>7.5735294117647053E-2</v>
      </c>
      <c r="AH181" s="6">
        <v>1.5477941176470587</v>
      </c>
      <c r="AI181" s="6">
        <v>0.41520588235294109</v>
      </c>
      <c r="AJ181" s="6">
        <v>1.4266764705882351</v>
      </c>
    </row>
    <row r="182" spans="1:36" x14ac:dyDescent="0.25">
      <c r="A182" s="7" t="s">
        <v>231</v>
      </c>
      <c r="B182" s="27" t="s">
        <v>568</v>
      </c>
      <c r="C182" s="8" t="s">
        <v>146</v>
      </c>
      <c r="D182" s="7" t="s">
        <v>143</v>
      </c>
      <c r="E182" s="7">
        <v>1</v>
      </c>
      <c r="F182" s="7" t="s">
        <v>18</v>
      </c>
      <c r="G182" s="8" t="s">
        <v>1012</v>
      </c>
      <c r="H182" s="5">
        <f t="shared" si="2"/>
        <v>117.45379411764708</v>
      </c>
      <c r="I182" s="6">
        <v>5.6411764705882349E-2</v>
      </c>
      <c r="J182" s="6">
        <v>0.29776470588235293</v>
      </c>
      <c r="K182" s="6">
        <v>2.4859117647058824</v>
      </c>
      <c r="L182" s="6">
        <v>0</v>
      </c>
      <c r="M182" s="6">
        <v>0.13741176470588234</v>
      </c>
      <c r="N182" s="6">
        <v>38.058617647058824</v>
      </c>
      <c r="O182" s="6">
        <v>0</v>
      </c>
      <c r="P182" s="6">
        <v>2.1705882352941176E-2</v>
      </c>
      <c r="Q182" s="6">
        <v>7.7606470588235288</v>
      </c>
      <c r="R182" s="6">
        <v>0.14282352941176468</v>
      </c>
      <c r="S182" s="15">
        <v>10.231999999999999</v>
      </c>
      <c r="T182" s="15">
        <v>0</v>
      </c>
      <c r="U182" s="15">
        <v>0</v>
      </c>
      <c r="V182" s="6">
        <v>30.057411764705879</v>
      </c>
      <c r="W182" s="6">
        <v>2.3759999999999999</v>
      </c>
      <c r="X182" s="6">
        <v>14.320588235294116</v>
      </c>
      <c r="Y182" s="6">
        <v>0.15179411764705883</v>
      </c>
      <c r="Z182" s="6">
        <v>0.55767647058823522</v>
      </c>
      <c r="AA182" s="6">
        <v>0.20002941176470587</v>
      </c>
      <c r="AB182" s="6">
        <v>0.42482352941176471</v>
      </c>
      <c r="AC182" s="6">
        <v>5.9450882352941168</v>
      </c>
      <c r="AD182" s="6">
        <v>2.0911764705882352E-2</v>
      </c>
      <c r="AE182" s="6">
        <v>0.2328529411764706</v>
      </c>
      <c r="AF182" s="6">
        <v>7.4264705882352941E-2</v>
      </c>
      <c r="AG182" s="6">
        <v>8.3176470588235282E-2</v>
      </c>
      <c r="AH182" s="6">
        <v>1.5940882352941175</v>
      </c>
      <c r="AI182" s="6">
        <v>0.47152941176470581</v>
      </c>
      <c r="AJ182" s="6">
        <v>1.7502647058823528</v>
      </c>
    </row>
    <row r="183" spans="1:36" x14ac:dyDescent="0.25">
      <c r="A183" s="7" t="s">
        <v>232</v>
      </c>
      <c r="B183" s="27" t="s">
        <v>569</v>
      </c>
      <c r="C183" s="8" t="s">
        <v>146</v>
      </c>
      <c r="D183" s="7" t="s">
        <v>145</v>
      </c>
      <c r="E183" s="7">
        <v>1</v>
      </c>
      <c r="F183" s="7" t="s">
        <v>18</v>
      </c>
      <c r="G183" s="8" t="s">
        <v>1012</v>
      </c>
      <c r="H183" s="5">
        <f t="shared" si="2"/>
        <v>68.906176470588221</v>
      </c>
      <c r="I183" s="6">
        <v>2.8823529411764703E-2</v>
      </c>
      <c r="J183" s="6">
        <v>0.20311764705882351</v>
      </c>
      <c r="K183" s="6">
        <v>1.1257058823529411</v>
      </c>
      <c r="L183" s="6">
        <v>0</v>
      </c>
      <c r="M183" s="6">
        <v>0.13029411764705881</v>
      </c>
      <c r="N183" s="6">
        <v>22.526382352941173</v>
      </c>
      <c r="O183" s="6">
        <v>0</v>
      </c>
      <c r="P183" s="6">
        <v>0</v>
      </c>
      <c r="Q183" s="6">
        <v>2.4786176470588233</v>
      </c>
      <c r="R183" s="6">
        <v>0.14341176470588232</v>
      </c>
      <c r="S183" s="15">
        <v>7.6639999999999997</v>
      </c>
      <c r="T183" s="15">
        <v>0</v>
      </c>
      <c r="U183" s="15">
        <v>0</v>
      </c>
      <c r="V183" s="6">
        <v>13.294470588235294</v>
      </c>
      <c r="W183" s="6">
        <v>1.2851470588235294</v>
      </c>
      <c r="X183" s="6">
        <v>8.5663235294117648</v>
      </c>
      <c r="Y183" s="6">
        <v>0.13973529411764704</v>
      </c>
      <c r="Z183" s="6">
        <v>0.26800000000000002</v>
      </c>
      <c r="AA183" s="6">
        <v>0.13858823529411765</v>
      </c>
      <c r="AB183" s="6">
        <v>0.24541176470588233</v>
      </c>
      <c r="AC183" s="6">
        <v>6.0675588235294109</v>
      </c>
      <c r="AD183" s="6">
        <v>1.5823529411764705E-2</v>
      </c>
      <c r="AE183" s="6">
        <v>0.21273529411764705</v>
      </c>
      <c r="AF183" s="6">
        <v>5.3205882352941165E-2</v>
      </c>
      <c r="AG183" s="6">
        <v>8.5529411764705882E-2</v>
      </c>
      <c r="AH183" s="6">
        <v>1.8046176470588233</v>
      </c>
      <c r="AI183" s="6">
        <v>0.51032352941176462</v>
      </c>
      <c r="AJ183" s="6">
        <v>1.9183529411764706</v>
      </c>
    </row>
    <row r="184" spans="1:36" x14ac:dyDescent="0.25">
      <c r="A184" s="8" t="s">
        <v>233</v>
      </c>
      <c r="B184" s="27" t="s">
        <v>570</v>
      </c>
      <c r="C184" s="8" t="s">
        <v>146</v>
      </c>
      <c r="D184" s="8" t="s">
        <v>146</v>
      </c>
      <c r="E184" s="8">
        <v>1</v>
      </c>
      <c r="F184" s="8" t="s">
        <v>18</v>
      </c>
      <c r="G184" s="8" t="s">
        <v>1012</v>
      </c>
      <c r="H184" s="5">
        <f t="shared" si="2"/>
        <v>215.58711764705879</v>
      </c>
      <c r="I184" s="6">
        <v>0.22185294117647056</v>
      </c>
      <c r="J184" s="6">
        <v>0.90747058823529403</v>
      </c>
      <c r="K184" s="6">
        <v>3.4372647058823529</v>
      </c>
      <c r="L184" s="6">
        <v>0</v>
      </c>
      <c r="M184" s="6">
        <v>0.72905882352941165</v>
      </c>
      <c r="N184" s="6">
        <v>84.962676470588221</v>
      </c>
      <c r="O184" s="6">
        <v>9.7411764705882337E-2</v>
      </c>
      <c r="P184" s="6">
        <v>0.14444117647058824</v>
      </c>
      <c r="Q184" s="6">
        <v>6.0576764705882349</v>
      </c>
      <c r="R184" s="6">
        <v>0.75867647058823529</v>
      </c>
      <c r="S184" s="16">
        <v>28.420823529411766</v>
      </c>
      <c r="T184" s="16">
        <v>0</v>
      </c>
      <c r="U184" s="16">
        <v>0</v>
      </c>
      <c r="V184" s="6">
        <v>21.324794117647055</v>
      </c>
      <c r="W184" s="6">
        <v>2.9002352941176466</v>
      </c>
      <c r="X184" s="6">
        <v>22.400588235294116</v>
      </c>
      <c r="Y184" s="6">
        <v>0.54529411764705882</v>
      </c>
      <c r="Z184" s="6">
        <v>0.40761764705882347</v>
      </c>
      <c r="AA184" s="6">
        <v>0.73650000000000004</v>
      </c>
      <c r="AB184" s="6">
        <v>0.93429411764705872</v>
      </c>
      <c r="AC184" s="6">
        <v>22.914882352941174</v>
      </c>
      <c r="AD184" s="6">
        <v>6.0294117647058824E-2</v>
      </c>
      <c r="AE184" s="6">
        <v>1.0106764705882352</v>
      </c>
      <c r="AF184" s="6">
        <v>0.2484117647058823</v>
      </c>
      <c r="AG184" s="6">
        <v>0.37041176470588233</v>
      </c>
      <c r="AH184" s="6">
        <v>7.4397941176470574</v>
      </c>
      <c r="AI184" s="6">
        <v>1.9924117647058823</v>
      </c>
      <c r="AJ184" s="6">
        <v>6.5635588235294104</v>
      </c>
    </row>
    <row r="185" spans="1:36" x14ac:dyDescent="0.25">
      <c r="A185" s="8" t="s">
        <v>234</v>
      </c>
      <c r="B185" s="27" t="s">
        <v>571</v>
      </c>
      <c r="C185" s="8" t="s">
        <v>146</v>
      </c>
      <c r="D185" s="8" t="s">
        <v>149</v>
      </c>
      <c r="E185" s="8">
        <v>1</v>
      </c>
      <c r="F185" s="8" t="s">
        <v>18</v>
      </c>
      <c r="G185" s="8" t="s">
        <v>1012</v>
      </c>
      <c r="H185" s="5">
        <f t="shared" si="2"/>
        <v>231.15364705882354</v>
      </c>
      <c r="I185" s="6">
        <v>0.1782941176470588</v>
      </c>
      <c r="J185" s="6">
        <v>0.80576470588235283</v>
      </c>
      <c r="K185" s="6">
        <v>3.5592941176470583</v>
      </c>
      <c r="L185" s="6">
        <v>0</v>
      </c>
      <c r="M185" s="6">
        <v>0.51661764705882351</v>
      </c>
      <c r="N185" s="6">
        <v>79.777941176470591</v>
      </c>
      <c r="O185" s="6">
        <v>7.2176470588235286E-2</v>
      </c>
      <c r="P185" s="6">
        <v>0.2400882352941176</v>
      </c>
      <c r="Q185" s="6">
        <v>6.4439411764705872</v>
      </c>
      <c r="R185" s="6">
        <v>0.57058823529411762</v>
      </c>
      <c r="S185" s="16">
        <v>29.823852941176469</v>
      </c>
      <c r="T185" s="16">
        <v>0</v>
      </c>
      <c r="U185" s="16">
        <v>0</v>
      </c>
      <c r="V185" s="6">
        <v>38.076205882352937</v>
      </c>
      <c r="W185" s="6">
        <v>3.6446764705882351</v>
      </c>
      <c r="X185" s="6">
        <v>23.439970588235294</v>
      </c>
      <c r="Y185" s="6">
        <v>0.51505882352941168</v>
      </c>
      <c r="Z185" s="6">
        <v>0.59573529411764703</v>
      </c>
      <c r="AA185" s="6">
        <v>0.57035294117647062</v>
      </c>
      <c r="AB185" s="6">
        <v>0.79494117647058826</v>
      </c>
      <c r="AC185" s="6">
        <v>23.401794117647057</v>
      </c>
      <c r="AD185" s="6">
        <v>5.0794117647058823E-2</v>
      </c>
      <c r="AE185" s="6">
        <v>0.87002941176470583</v>
      </c>
      <c r="AF185" s="6">
        <v>0.15964705882352939</v>
      </c>
      <c r="AG185" s="6">
        <v>0.3422941176470588</v>
      </c>
      <c r="AH185" s="6">
        <v>7.7242941176470579</v>
      </c>
      <c r="AI185" s="6">
        <v>2.1454705882352938</v>
      </c>
      <c r="AJ185" s="6">
        <v>6.8338235294117649</v>
      </c>
    </row>
    <row r="186" spans="1:36" x14ac:dyDescent="0.25">
      <c r="A186" s="7" t="s">
        <v>235</v>
      </c>
      <c r="B186" s="27" t="s">
        <v>572</v>
      </c>
      <c r="C186" s="8" t="s">
        <v>146</v>
      </c>
      <c r="D186" s="7" t="s">
        <v>151</v>
      </c>
      <c r="E186" s="7">
        <v>2</v>
      </c>
      <c r="F186" s="8" t="s">
        <v>18</v>
      </c>
      <c r="G186" s="8" t="s">
        <v>1012</v>
      </c>
      <c r="H186" s="5">
        <f t="shared" si="2"/>
        <v>66.586411764705886</v>
      </c>
      <c r="I186" s="6">
        <v>2.611764705882353E-2</v>
      </c>
      <c r="J186" s="6">
        <v>0.20044117647058823</v>
      </c>
      <c r="K186" s="6">
        <v>0.86044117647058804</v>
      </c>
      <c r="L186" s="6">
        <v>0</v>
      </c>
      <c r="M186" s="6">
        <v>0.13973529411764704</v>
      </c>
      <c r="N186" s="6">
        <v>25.776852941176468</v>
      </c>
      <c r="O186" s="6">
        <v>7.5470588235294109E-2</v>
      </c>
      <c r="P186" s="6">
        <v>7.4323529411764705E-2</v>
      </c>
      <c r="Q186" s="6">
        <v>1.5258823529411765</v>
      </c>
      <c r="R186" s="6">
        <v>0.1451764705882353</v>
      </c>
      <c r="S186" s="15">
        <v>7.6</v>
      </c>
      <c r="T186" s="15">
        <v>0</v>
      </c>
      <c r="U186" s="15">
        <v>0</v>
      </c>
      <c r="V186" s="6">
        <v>9.828558823529411</v>
      </c>
      <c r="W186" s="6">
        <v>0.98329411764705876</v>
      </c>
      <c r="X186" s="6">
        <v>7.0061470588235286</v>
      </c>
      <c r="Y186" s="6">
        <v>0.15399999999999997</v>
      </c>
      <c r="Z186" s="6">
        <v>0.16017647058823528</v>
      </c>
      <c r="AA186" s="6">
        <v>0.16955882352941176</v>
      </c>
      <c r="AB186" s="6">
        <v>0.22214705882352939</v>
      </c>
      <c r="AC186" s="6">
        <v>6.6581470588235288</v>
      </c>
      <c r="AD186" s="6">
        <v>2.1647058823529412E-2</v>
      </c>
      <c r="AE186" s="6">
        <v>0.25264705882352939</v>
      </c>
      <c r="AF186" s="6">
        <v>7.7176470588235291E-2</v>
      </c>
      <c r="AG186" s="6">
        <v>9.5794117647058821E-2</v>
      </c>
      <c r="AH186" s="6">
        <v>1.9588529411764704</v>
      </c>
      <c r="AI186" s="6">
        <v>0.54926470588235288</v>
      </c>
      <c r="AJ186" s="6">
        <v>2.0245588235294116</v>
      </c>
    </row>
    <row r="187" spans="1:36" x14ac:dyDescent="0.25">
      <c r="A187" s="7" t="s">
        <v>236</v>
      </c>
      <c r="B187" s="27" t="s">
        <v>573</v>
      </c>
      <c r="C187" s="8" t="s">
        <v>146</v>
      </c>
      <c r="D187" s="7" t="s">
        <v>153</v>
      </c>
      <c r="E187" s="7">
        <v>2</v>
      </c>
      <c r="F187" s="8" t="s">
        <v>18</v>
      </c>
      <c r="G187" s="8" t="s">
        <v>1012</v>
      </c>
      <c r="H187" s="5">
        <f t="shared" si="2"/>
        <v>98.536941176470592</v>
      </c>
      <c r="I187" s="6">
        <v>4.9000000000000002E-2</v>
      </c>
      <c r="J187" s="6">
        <v>0.27194117647058824</v>
      </c>
      <c r="K187" s="6">
        <v>1.8807352941176467</v>
      </c>
      <c r="L187" s="6">
        <v>0</v>
      </c>
      <c r="M187" s="6">
        <v>0.14838235294117647</v>
      </c>
      <c r="N187" s="6">
        <v>30.470647058823527</v>
      </c>
      <c r="O187" s="6">
        <v>3.8588235294117645E-2</v>
      </c>
      <c r="P187" s="6">
        <v>6.1617647058823527E-2</v>
      </c>
      <c r="Q187" s="6">
        <v>3.9498235294117645</v>
      </c>
      <c r="R187" s="6">
        <v>0.1651470588235294</v>
      </c>
      <c r="S187" s="15">
        <v>9.7759999999999998</v>
      </c>
      <c r="T187" s="15">
        <v>0</v>
      </c>
      <c r="U187" s="15">
        <v>0</v>
      </c>
      <c r="V187" s="6">
        <v>24.675441176470585</v>
      </c>
      <c r="W187" s="6">
        <v>1.8637647058823528</v>
      </c>
      <c r="X187" s="6">
        <v>13.265411764705879</v>
      </c>
      <c r="Y187" s="6">
        <v>0.14438235294117646</v>
      </c>
      <c r="Z187" s="6">
        <v>0.43341176470588227</v>
      </c>
      <c r="AA187" s="6">
        <v>0.15917647058823528</v>
      </c>
      <c r="AB187" s="6">
        <v>0.35141176470588231</v>
      </c>
      <c r="AC187" s="6">
        <v>6.2531176470588221</v>
      </c>
      <c r="AD187" s="6">
        <v>1.6588235294117647E-2</v>
      </c>
      <c r="AE187" s="6">
        <v>0.21826470588235292</v>
      </c>
      <c r="AF187" s="6">
        <v>5.3176470588235283E-2</v>
      </c>
      <c r="AG187" s="6">
        <v>8.1647058823529406E-2</v>
      </c>
      <c r="AH187" s="6">
        <v>1.7524117647058823</v>
      </c>
      <c r="AI187" s="6">
        <v>0.49117647058823527</v>
      </c>
      <c r="AJ187" s="6">
        <v>1.965676470588235</v>
      </c>
    </row>
    <row r="188" spans="1:36" x14ac:dyDescent="0.25">
      <c r="A188" s="7" t="s">
        <v>237</v>
      </c>
      <c r="B188" s="27" t="s">
        <v>574</v>
      </c>
      <c r="C188" s="8" t="s">
        <v>146</v>
      </c>
      <c r="D188" s="7" t="s">
        <v>155</v>
      </c>
      <c r="E188" s="7">
        <v>2</v>
      </c>
      <c r="F188" s="8" t="s">
        <v>18</v>
      </c>
      <c r="G188" s="8" t="s">
        <v>1012</v>
      </c>
      <c r="H188" s="5">
        <f t="shared" si="2"/>
        <v>87.926294117647032</v>
      </c>
      <c r="I188" s="6">
        <v>4.2764705882352941E-2</v>
      </c>
      <c r="J188" s="6">
        <v>0.23755882352941174</v>
      </c>
      <c r="K188" s="6">
        <v>1.5481470588235293</v>
      </c>
      <c r="L188" s="6">
        <v>0</v>
      </c>
      <c r="M188" s="6">
        <v>0.1288235294117647</v>
      </c>
      <c r="N188" s="6">
        <v>24.661264705882349</v>
      </c>
      <c r="O188" s="6">
        <v>1.5352941176470587E-2</v>
      </c>
      <c r="P188" s="6">
        <v>4.7264705882352938E-2</v>
      </c>
      <c r="Q188" s="6">
        <v>3.0562647058823531</v>
      </c>
      <c r="R188" s="6">
        <v>0.16547058823529409</v>
      </c>
      <c r="S188" s="15">
        <v>8.5350000000000001</v>
      </c>
      <c r="T188" s="15">
        <v>0</v>
      </c>
      <c r="U188" s="15">
        <v>0</v>
      </c>
      <c r="V188" s="6">
        <v>23.731088235294113</v>
      </c>
      <c r="W188" s="6">
        <v>1.7587352941176468</v>
      </c>
      <c r="X188" s="6">
        <v>14.673676470588234</v>
      </c>
      <c r="Y188" s="6">
        <v>0.11749999999999999</v>
      </c>
      <c r="Z188" s="6">
        <v>0.55414705882352933</v>
      </c>
      <c r="AA188" s="6">
        <v>0.1351470588235294</v>
      </c>
      <c r="AB188" s="6">
        <v>0.38644117647058823</v>
      </c>
      <c r="AC188" s="6">
        <v>4.7420588235294119</v>
      </c>
      <c r="AD188" s="6">
        <v>9.8529411764705886E-3</v>
      </c>
      <c r="AE188" s="6">
        <v>0.15779411764705881</v>
      </c>
      <c r="AF188" s="6">
        <v>4.191176470588235E-2</v>
      </c>
      <c r="AG188" s="6">
        <v>7.3764705882352941E-2</v>
      </c>
      <c r="AH188" s="6">
        <v>1.2667941176470587</v>
      </c>
      <c r="AI188" s="6">
        <v>0.34455882352941175</v>
      </c>
      <c r="AJ188" s="6">
        <v>1.4949117647058823</v>
      </c>
    </row>
    <row r="189" spans="1:36" x14ac:dyDescent="0.25">
      <c r="A189" s="8" t="s">
        <v>238</v>
      </c>
      <c r="B189" s="27" t="s">
        <v>575</v>
      </c>
      <c r="C189" s="8" t="s">
        <v>146</v>
      </c>
      <c r="D189" s="8" t="s">
        <v>157</v>
      </c>
      <c r="E189" s="8">
        <v>2</v>
      </c>
      <c r="F189" s="8" t="s">
        <v>18</v>
      </c>
      <c r="G189" s="8" t="s">
        <v>1012</v>
      </c>
      <c r="H189" s="5">
        <f t="shared" si="2"/>
        <v>224.9374705882353</v>
      </c>
      <c r="I189" s="6">
        <v>0.19552941176470587</v>
      </c>
      <c r="J189" s="6">
        <v>0.93373529411764689</v>
      </c>
      <c r="K189" s="6">
        <v>3.5277647058823529</v>
      </c>
      <c r="L189" s="6">
        <v>0</v>
      </c>
      <c r="M189" s="6">
        <v>0.67417647058823527</v>
      </c>
      <c r="N189" s="6">
        <v>85.928117647058812</v>
      </c>
      <c r="O189" s="6">
        <v>0.10120588235294117</v>
      </c>
      <c r="P189" s="6">
        <v>0.14323529411764704</v>
      </c>
      <c r="Q189" s="6">
        <v>6.0618529411764701</v>
      </c>
      <c r="R189" s="6">
        <v>0.73161764705882348</v>
      </c>
      <c r="S189" s="16">
        <v>29.580970588235292</v>
      </c>
      <c r="T189" s="16">
        <v>0</v>
      </c>
      <c r="U189" s="16">
        <v>0</v>
      </c>
      <c r="V189" s="6">
        <v>23.954970588235295</v>
      </c>
      <c r="W189" s="6">
        <v>3.0361764705882353</v>
      </c>
      <c r="X189" s="6">
        <v>25.397970588235292</v>
      </c>
      <c r="Y189" s="6">
        <v>0.50864705882352945</v>
      </c>
      <c r="Z189" s="6">
        <v>0.54832352941176465</v>
      </c>
      <c r="AA189" s="6">
        <v>0.71020588235294113</v>
      </c>
      <c r="AB189" s="6">
        <v>1.0057647058823529</v>
      </c>
      <c r="AC189" s="6">
        <v>23.396647058823529</v>
      </c>
      <c r="AD189" s="6">
        <v>7.4441176470588233E-2</v>
      </c>
      <c r="AE189" s="6">
        <v>0.99729411764705878</v>
      </c>
      <c r="AF189" s="6">
        <v>0.21485294117647058</v>
      </c>
      <c r="AG189" s="6">
        <v>0.37861764705882356</v>
      </c>
      <c r="AH189" s="6">
        <v>7.8300294117647056</v>
      </c>
      <c r="AI189" s="6">
        <v>1.989970588235294</v>
      </c>
      <c r="AJ189" s="6">
        <v>7.0153529411764701</v>
      </c>
    </row>
    <row r="190" spans="1:36" x14ac:dyDescent="0.25">
      <c r="A190" s="8" t="s">
        <v>239</v>
      </c>
      <c r="B190" s="27" t="s">
        <v>576</v>
      </c>
      <c r="C190" s="8" t="s">
        <v>146</v>
      </c>
      <c r="D190" s="8" t="s">
        <v>159</v>
      </c>
      <c r="E190" s="8">
        <v>2</v>
      </c>
      <c r="F190" s="8" t="s">
        <v>18</v>
      </c>
      <c r="G190" s="8" t="s">
        <v>1012</v>
      </c>
      <c r="H190" s="5">
        <f t="shared" si="2"/>
        <v>231.3333235294117</v>
      </c>
      <c r="I190" s="6">
        <v>0.15952941176470586</v>
      </c>
      <c r="J190" s="6">
        <v>0.8054411764705881</v>
      </c>
      <c r="K190" s="6">
        <v>3.5226176470588229</v>
      </c>
      <c r="L190" s="6">
        <v>0</v>
      </c>
      <c r="M190" s="6">
        <v>0.56091176470588233</v>
      </c>
      <c r="N190" s="6">
        <v>83.823176470588237</v>
      </c>
      <c r="O190" s="6">
        <v>0.26158823529411762</v>
      </c>
      <c r="P190" s="6">
        <v>0.35267647058823526</v>
      </c>
      <c r="Q190" s="6">
        <v>6.2952647058823521</v>
      </c>
      <c r="R190" s="6">
        <v>0.58647058823529408</v>
      </c>
      <c r="S190" s="16">
        <v>29.713088235294112</v>
      </c>
      <c r="T190" s="16">
        <v>0</v>
      </c>
      <c r="U190" s="16">
        <v>0</v>
      </c>
      <c r="V190" s="6">
        <v>32.343029411764704</v>
      </c>
      <c r="W190" s="6">
        <v>3.7887058823529407</v>
      </c>
      <c r="X190" s="6">
        <v>22.732676470588235</v>
      </c>
      <c r="Y190" s="6">
        <v>0.48899999999999993</v>
      </c>
      <c r="Z190" s="6">
        <v>0.52955882352941164</v>
      </c>
      <c r="AA190" s="6">
        <v>0.55917647058823527</v>
      </c>
      <c r="AB190" s="6">
        <v>0.81547058823529406</v>
      </c>
      <c r="AC190" s="6">
        <v>24.686352941176466</v>
      </c>
      <c r="AD190" s="6">
        <v>4.0705882352941175E-2</v>
      </c>
      <c r="AE190" s="6">
        <v>0.86261764705882349</v>
      </c>
      <c r="AF190" s="6">
        <v>0.15702941176470586</v>
      </c>
      <c r="AG190" s="6">
        <v>0.35232352941176465</v>
      </c>
      <c r="AH190" s="6">
        <v>8.032970588235294</v>
      </c>
      <c r="AI190" s="6">
        <v>2.2551470588235292</v>
      </c>
      <c r="AJ190" s="6">
        <v>7.6077941176470585</v>
      </c>
    </row>
    <row r="191" spans="1:36" x14ac:dyDescent="0.25">
      <c r="A191" s="7" t="s">
        <v>240</v>
      </c>
      <c r="B191" s="27" t="s">
        <v>577</v>
      </c>
      <c r="C191" s="8" t="s">
        <v>146</v>
      </c>
      <c r="D191" s="7" t="s">
        <v>161</v>
      </c>
      <c r="E191" s="7">
        <v>6</v>
      </c>
      <c r="F191" s="8" t="s">
        <v>18</v>
      </c>
      <c r="G191" s="8" t="s">
        <v>1012</v>
      </c>
      <c r="H191" s="5">
        <f t="shared" si="2"/>
        <v>39.130235294117632</v>
      </c>
      <c r="I191" s="6">
        <v>1.8794117647058822E-2</v>
      </c>
      <c r="J191" s="6">
        <v>0.14405882352941177</v>
      </c>
      <c r="K191" s="6">
        <v>0.58397058823529413</v>
      </c>
      <c r="L191" s="6">
        <v>0</v>
      </c>
      <c r="M191" s="6">
        <v>0.10276470588235292</v>
      </c>
      <c r="N191" s="6">
        <v>14.729558823529411</v>
      </c>
      <c r="O191" s="6">
        <v>4.3911764705882352E-2</v>
      </c>
      <c r="P191" s="6">
        <v>7.3470588235294107E-2</v>
      </c>
      <c r="Q191" s="6">
        <v>1.0367058823529411</v>
      </c>
      <c r="R191" s="6">
        <v>9.4058823529411764E-2</v>
      </c>
      <c r="S191" s="15">
        <v>4.8490000000000002</v>
      </c>
      <c r="T191" s="15">
        <v>0</v>
      </c>
      <c r="U191" s="15">
        <v>0</v>
      </c>
      <c r="V191" s="6">
        <v>5.0146176470588237</v>
      </c>
      <c r="W191" s="6">
        <v>0.60188235294117642</v>
      </c>
      <c r="X191" s="6">
        <v>3.2332058823529413</v>
      </c>
      <c r="Y191" s="6">
        <v>9.6941176470588239E-2</v>
      </c>
      <c r="Z191" s="6">
        <v>5.0088235294117642E-2</v>
      </c>
      <c r="AA191" s="6">
        <v>0.10073529411764706</v>
      </c>
      <c r="AB191" s="6">
        <v>0.1376470588235294</v>
      </c>
      <c r="AC191" s="6">
        <v>4.6037058823529406</v>
      </c>
      <c r="AD191" s="6">
        <v>3.3823529411764705E-3</v>
      </c>
      <c r="AE191" s="6">
        <v>0.16267647058823528</v>
      </c>
      <c r="AF191" s="6">
        <v>2.5441176470588231E-2</v>
      </c>
      <c r="AG191" s="6">
        <v>6.852941176470588E-2</v>
      </c>
      <c r="AH191" s="6">
        <v>1.5275294117647058</v>
      </c>
      <c r="AI191" s="6">
        <v>0.38005882352941173</v>
      </c>
      <c r="AJ191" s="6">
        <v>1.4474999999999998</v>
      </c>
    </row>
    <row r="192" spans="1:36" x14ac:dyDescent="0.25">
      <c r="A192" s="7" t="s">
        <v>241</v>
      </c>
      <c r="B192" s="27" t="s">
        <v>578</v>
      </c>
      <c r="C192" s="8" t="s">
        <v>146</v>
      </c>
      <c r="D192" s="7" t="s">
        <v>163</v>
      </c>
      <c r="E192" s="7">
        <v>6</v>
      </c>
      <c r="F192" s="8" t="s">
        <v>18</v>
      </c>
      <c r="G192" s="8" t="s">
        <v>1012</v>
      </c>
      <c r="H192" s="5">
        <f t="shared" si="2"/>
        <v>53.581029411764703</v>
      </c>
      <c r="I192" s="6">
        <v>2.626470588235294E-2</v>
      </c>
      <c r="J192" s="6">
        <v>0.20699999999999999</v>
      </c>
      <c r="K192" s="6">
        <v>0.77141176470588235</v>
      </c>
      <c r="L192" s="6">
        <v>0</v>
      </c>
      <c r="M192" s="6">
        <v>0.12141176470588233</v>
      </c>
      <c r="N192" s="6">
        <v>19.851970588235293</v>
      </c>
      <c r="O192" s="6">
        <v>5.479411764705882E-2</v>
      </c>
      <c r="P192" s="6">
        <v>7.7852941176470583E-2</v>
      </c>
      <c r="Q192" s="6">
        <v>1.3426470588235293</v>
      </c>
      <c r="R192" s="6">
        <v>0.122</v>
      </c>
      <c r="S192" s="15">
        <v>6.7910000000000004</v>
      </c>
      <c r="T192" s="15">
        <v>0</v>
      </c>
      <c r="U192" s="15">
        <v>0</v>
      </c>
      <c r="V192" s="6">
        <v>7.072764705882352</v>
      </c>
      <c r="W192" s="6">
        <v>0.73091176470588237</v>
      </c>
      <c r="X192" s="6">
        <v>4.7179411764705881</v>
      </c>
      <c r="Y192" s="6">
        <v>0.12720588235294117</v>
      </c>
      <c r="Z192" s="6">
        <v>7.4558823529411761E-2</v>
      </c>
      <c r="AA192" s="6">
        <v>0.12938235294117648</v>
      </c>
      <c r="AB192" s="6">
        <v>0.16744117647058823</v>
      </c>
      <c r="AC192" s="6">
        <v>6.4785588235294114</v>
      </c>
      <c r="AD192" s="6">
        <v>1.0999999999999999E-2</v>
      </c>
      <c r="AE192" s="6">
        <v>0.216</v>
      </c>
      <c r="AF192" s="6">
        <v>4.9058823529411759E-2</v>
      </c>
      <c r="AG192" s="6">
        <v>9.2441176470588221E-2</v>
      </c>
      <c r="AH192" s="6">
        <v>1.9140588235294116</v>
      </c>
      <c r="AI192" s="6">
        <v>0.51226470588235284</v>
      </c>
      <c r="AJ192" s="6">
        <v>1.9210882352941177</v>
      </c>
    </row>
    <row r="193" spans="1:36" x14ac:dyDescent="0.25">
      <c r="A193" s="7" t="s">
        <v>242</v>
      </c>
      <c r="B193" s="27" t="s">
        <v>579</v>
      </c>
      <c r="C193" s="8" t="s">
        <v>146</v>
      </c>
      <c r="D193" s="7" t="s">
        <v>165</v>
      </c>
      <c r="E193" s="7">
        <v>6</v>
      </c>
      <c r="F193" s="8" t="s">
        <v>18</v>
      </c>
      <c r="G193" s="8" t="s">
        <v>1012</v>
      </c>
      <c r="H193" s="5">
        <f t="shared" si="2"/>
        <v>74.231588235294112</v>
      </c>
      <c r="I193" s="6">
        <v>3.3529411764705884E-2</v>
      </c>
      <c r="J193" s="6">
        <v>0.22749999999999998</v>
      </c>
      <c r="K193" s="6">
        <v>1.1374117647058823</v>
      </c>
      <c r="L193" s="6">
        <v>0</v>
      </c>
      <c r="M193" s="6">
        <v>0.13876470588235293</v>
      </c>
      <c r="N193" s="6">
        <v>24.77435294117647</v>
      </c>
      <c r="O193" s="6">
        <v>3.7382352941176471E-2</v>
      </c>
      <c r="P193" s="6">
        <v>6.5588235294117642E-2</v>
      </c>
      <c r="Q193" s="6">
        <v>2.4406176470588234</v>
      </c>
      <c r="R193" s="6">
        <v>0.14670588235294116</v>
      </c>
      <c r="S193" s="15">
        <v>8.3290000000000006</v>
      </c>
      <c r="T193" s="15">
        <v>0</v>
      </c>
      <c r="U193" s="15">
        <v>0</v>
      </c>
      <c r="V193" s="6">
        <v>14.084382352941175</v>
      </c>
      <c r="W193" s="6">
        <v>1.3344705882352941</v>
      </c>
      <c r="X193" s="6">
        <v>8.7588529411764693</v>
      </c>
      <c r="Y193" s="6">
        <v>0.14926470588235294</v>
      </c>
      <c r="Z193" s="6">
        <v>0.23688235294117646</v>
      </c>
      <c r="AA193" s="6">
        <v>0.15294117647058822</v>
      </c>
      <c r="AB193" s="6">
        <v>0.24997058823529408</v>
      </c>
      <c r="AC193" s="6">
        <v>6.774</v>
      </c>
      <c r="AD193" s="6">
        <v>1.4852941176470586E-2</v>
      </c>
      <c r="AE193" s="6">
        <v>0.22920588235294115</v>
      </c>
      <c r="AF193" s="6">
        <v>5.055882352941176E-2</v>
      </c>
      <c r="AG193" s="6">
        <v>9.7823529411764698E-2</v>
      </c>
      <c r="AH193" s="6">
        <v>1.972941176470588</v>
      </c>
      <c r="AI193" s="6">
        <v>0.56055882352941178</v>
      </c>
      <c r="AJ193" s="6">
        <v>2.2340294117647055</v>
      </c>
    </row>
    <row r="194" spans="1:36" x14ac:dyDescent="0.25">
      <c r="A194" s="8" t="s">
        <v>243</v>
      </c>
      <c r="B194" s="27" t="s">
        <v>580</v>
      </c>
      <c r="C194" s="8" t="s">
        <v>146</v>
      </c>
      <c r="D194" s="8" t="s">
        <v>167</v>
      </c>
      <c r="E194" s="8">
        <v>6</v>
      </c>
      <c r="F194" s="8" t="s">
        <v>18</v>
      </c>
      <c r="G194" s="8" t="s">
        <v>1012</v>
      </c>
      <c r="H194" s="5">
        <f t="shared" ref="H194:H257" si="3">SUM(I194:M194,N194:R194,S194:AJ194)</f>
        <v>217.83391176470587</v>
      </c>
      <c r="I194" s="6">
        <v>0.26794117647058824</v>
      </c>
      <c r="J194" s="6">
        <v>1.0913529411764704</v>
      </c>
      <c r="K194" s="6">
        <v>4.0408823529411757</v>
      </c>
      <c r="L194" s="6">
        <v>0</v>
      </c>
      <c r="M194" s="6">
        <v>0.61273529411764693</v>
      </c>
      <c r="N194" s="6">
        <v>85.932029411764702</v>
      </c>
      <c r="O194" s="6">
        <v>0.19617647058823526</v>
      </c>
      <c r="P194" s="6">
        <v>0.30364705882352938</v>
      </c>
      <c r="Q194" s="6">
        <v>5.6992941176470584</v>
      </c>
      <c r="R194" s="6">
        <v>0.58458823529411763</v>
      </c>
      <c r="S194" s="16">
        <v>29.049823529411761</v>
      </c>
      <c r="T194" s="16">
        <v>0</v>
      </c>
      <c r="U194" s="16">
        <v>2.5999999999999999E-2</v>
      </c>
      <c r="V194" s="6">
        <v>25.01497058823529</v>
      </c>
      <c r="W194" s="6">
        <v>3.2282058823529409</v>
      </c>
      <c r="X194" s="6">
        <v>17.629647058823529</v>
      </c>
      <c r="Y194" s="6">
        <v>0.45417647058823524</v>
      </c>
      <c r="Z194" s="6">
        <v>0.33147058823529407</v>
      </c>
      <c r="AA194" s="6">
        <v>0.56123529411764694</v>
      </c>
      <c r="AB194" s="6">
        <v>0.68970588235294106</v>
      </c>
      <c r="AC194" s="6">
        <v>23.78814705882353</v>
      </c>
      <c r="AD194" s="6">
        <v>4.858823529411764E-2</v>
      </c>
      <c r="AE194" s="6">
        <v>0.85561764705882348</v>
      </c>
      <c r="AF194" s="6">
        <v>0.18094117647058822</v>
      </c>
      <c r="AG194" s="6">
        <v>0.35849999999999999</v>
      </c>
      <c r="AH194" s="6">
        <v>7.7714117647058814</v>
      </c>
      <c r="AI194" s="6">
        <v>2.1731176470588234</v>
      </c>
      <c r="AJ194" s="6">
        <v>6.9437058823529414</v>
      </c>
    </row>
    <row r="195" spans="1:36" x14ac:dyDescent="0.25">
      <c r="A195" s="8" t="s">
        <v>244</v>
      </c>
      <c r="B195" s="27" t="s">
        <v>581</v>
      </c>
      <c r="C195" s="8" t="s">
        <v>146</v>
      </c>
      <c r="D195" s="8" t="s">
        <v>169</v>
      </c>
      <c r="E195" s="8">
        <v>6</v>
      </c>
      <c r="F195" s="8" t="s">
        <v>18</v>
      </c>
      <c r="G195" s="8" t="s">
        <v>1012</v>
      </c>
      <c r="H195" s="5">
        <f t="shared" si="3"/>
        <v>383.51752941176477</v>
      </c>
      <c r="I195" s="6">
        <v>0.22</v>
      </c>
      <c r="J195" s="6">
        <v>0.96620588235294114</v>
      </c>
      <c r="K195" s="6">
        <v>4.2423823529411759</v>
      </c>
      <c r="L195" s="6">
        <v>0</v>
      </c>
      <c r="M195" s="6">
        <v>0.70138235294117635</v>
      </c>
      <c r="N195" s="6">
        <v>114.50332352941176</v>
      </c>
      <c r="O195" s="6">
        <v>1.2903529411764705</v>
      </c>
      <c r="P195" s="6">
        <v>5.8610294117647053</v>
      </c>
      <c r="Q195" s="6">
        <v>8.638529411764706</v>
      </c>
      <c r="R195" s="6">
        <v>0.76144117647058818</v>
      </c>
      <c r="S195" s="16">
        <v>36.235382352941173</v>
      </c>
      <c r="T195" s="16">
        <v>0</v>
      </c>
      <c r="U195" s="16">
        <v>0</v>
      </c>
      <c r="V195" s="6">
        <v>116.60717647058821</v>
      </c>
      <c r="W195" s="6">
        <v>7.0415882352941175</v>
      </c>
      <c r="X195" s="6">
        <v>32.981294117647053</v>
      </c>
      <c r="Y195" s="6">
        <v>0.47173529411764703</v>
      </c>
      <c r="Z195" s="6">
        <v>1.3357941176470587</v>
      </c>
      <c r="AA195" s="6">
        <v>1.0584117647058824</v>
      </c>
      <c r="AB195" s="6">
        <v>1.094970588235294</v>
      </c>
      <c r="AC195" s="6">
        <v>28.069735294117645</v>
      </c>
      <c r="AD195" s="6">
        <v>5.4558823529411764E-2</v>
      </c>
      <c r="AE195" s="6">
        <v>1.0894117647058823</v>
      </c>
      <c r="AF195" s="6">
        <v>0.2041470588235294</v>
      </c>
      <c r="AG195" s="6">
        <v>0.40735294117647058</v>
      </c>
      <c r="AH195" s="6">
        <v>8.6842352941176468</v>
      </c>
      <c r="AI195" s="6">
        <v>2.4666764705882351</v>
      </c>
      <c r="AJ195" s="6">
        <v>8.5304117647058817</v>
      </c>
    </row>
    <row r="196" spans="1:36" x14ac:dyDescent="0.25">
      <c r="A196" s="7" t="s">
        <v>245</v>
      </c>
      <c r="B196" s="27" t="s">
        <v>582</v>
      </c>
      <c r="C196" s="8" t="s">
        <v>146</v>
      </c>
      <c r="D196" s="7" t="s">
        <v>141</v>
      </c>
      <c r="E196" s="7">
        <v>0</v>
      </c>
      <c r="F196" s="7" t="s">
        <v>125</v>
      </c>
      <c r="G196" s="8" t="s">
        <v>995</v>
      </c>
      <c r="H196" s="5">
        <f t="shared" si="3"/>
        <v>36.76423529411764</v>
      </c>
      <c r="I196" s="6">
        <v>0.13667647058823529</v>
      </c>
      <c r="J196" s="6">
        <v>9.8352941176470574E-2</v>
      </c>
      <c r="K196" s="6">
        <v>0.24555882352941172</v>
      </c>
      <c r="L196" s="6">
        <v>0</v>
      </c>
      <c r="M196" s="6">
        <v>7.9823529411764696E-2</v>
      </c>
      <c r="N196" s="6">
        <v>8.103147058823529</v>
      </c>
      <c r="O196" s="6">
        <v>0</v>
      </c>
      <c r="P196" s="6">
        <v>0</v>
      </c>
      <c r="Q196" s="6">
        <v>0.65870588235294114</v>
      </c>
      <c r="R196" s="6">
        <v>0.10541176470588233</v>
      </c>
      <c r="S196" s="15">
        <v>3.6320000000000001</v>
      </c>
      <c r="T196" s="15">
        <v>0</v>
      </c>
      <c r="U196" s="15">
        <v>0</v>
      </c>
      <c r="V196" s="9">
        <v>4.5721470588235293</v>
      </c>
      <c r="W196" s="9">
        <v>0.67147058823529404</v>
      </c>
      <c r="X196" s="9">
        <v>9.8675294117647052</v>
      </c>
      <c r="Y196" s="9">
        <v>8.8499999999999995E-2</v>
      </c>
      <c r="Z196" s="9">
        <v>0.2176176470588235</v>
      </c>
      <c r="AA196" s="9">
        <v>3.455882352941176E-2</v>
      </c>
      <c r="AB196" s="9">
        <v>9.0911764705882345E-2</v>
      </c>
      <c r="AC196" s="9">
        <v>6.2505882352941171</v>
      </c>
      <c r="AD196" s="9">
        <v>9.7352941176470573E-3</v>
      </c>
      <c r="AE196" s="9">
        <v>6.5676470588235281E-2</v>
      </c>
      <c r="AF196" s="9">
        <v>0.13191176470588234</v>
      </c>
      <c r="AG196" s="9">
        <v>1.6058823529411761E-2</v>
      </c>
      <c r="AH196" s="9">
        <v>6.7588235294117643E-2</v>
      </c>
      <c r="AI196" s="9">
        <v>0.20691176470588232</v>
      </c>
      <c r="AJ196" s="9">
        <v>1.4133529411764705</v>
      </c>
    </row>
    <row r="197" spans="1:36" x14ac:dyDescent="0.25">
      <c r="A197" s="7" t="s">
        <v>246</v>
      </c>
      <c r="B197" s="27" t="s">
        <v>583</v>
      </c>
      <c r="C197" s="8" t="s">
        <v>146</v>
      </c>
      <c r="D197" s="7" t="s">
        <v>143</v>
      </c>
      <c r="E197" s="7">
        <v>1</v>
      </c>
      <c r="F197" s="7" t="s">
        <v>125</v>
      </c>
      <c r="G197" s="8" t="s">
        <v>995</v>
      </c>
      <c r="H197" s="5">
        <f t="shared" si="3"/>
        <v>69.420852941176463</v>
      </c>
      <c r="I197" s="6">
        <v>0.18955882352941172</v>
      </c>
      <c r="J197" s="6">
        <v>0.14920588235294116</v>
      </c>
      <c r="K197" s="6">
        <v>0.44494117647058817</v>
      </c>
      <c r="L197" s="6">
        <v>0</v>
      </c>
      <c r="M197" s="6">
        <v>0.10555882352941175</v>
      </c>
      <c r="N197" s="6">
        <v>15.647617647058823</v>
      </c>
      <c r="O197" s="6">
        <v>0.22120588235294117</v>
      </c>
      <c r="P197" s="6">
        <v>0.2492941176470588</v>
      </c>
      <c r="Q197" s="6">
        <v>1.6065294117647058</v>
      </c>
      <c r="R197" s="6">
        <v>0.15094117647058822</v>
      </c>
      <c r="S197" s="15">
        <v>6.923</v>
      </c>
      <c r="T197" s="15">
        <v>0</v>
      </c>
      <c r="U197" s="15">
        <v>0</v>
      </c>
      <c r="V197" s="9">
        <v>11.835205882352941</v>
      </c>
      <c r="W197" s="9">
        <v>0.86888235294117644</v>
      </c>
      <c r="X197" s="9">
        <v>17.228999999999999</v>
      </c>
      <c r="Y197" s="9">
        <v>0.36629411764705877</v>
      </c>
      <c r="Z197" s="9">
        <v>0.4318529411764705</v>
      </c>
      <c r="AA197" s="9">
        <v>0.11223529411764704</v>
      </c>
      <c r="AB197" s="9">
        <v>9.4823529411764695E-2</v>
      </c>
      <c r="AC197" s="9">
        <v>9.2804117647058817</v>
      </c>
      <c r="AD197" s="9">
        <v>2.6058823529411763E-2</v>
      </c>
      <c r="AE197" s="9">
        <v>0.21738235294117647</v>
      </c>
      <c r="AF197" s="9">
        <v>0.23123529411764704</v>
      </c>
      <c r="AG197" s="9">
        <v>2.1470588235294116E-2</v>
      </c>
      <c r="AH197" s="9">
        <v>9.6088235294117627E-2</v>
      </c>
      <c r="AI197" s="9">
        <v>0.24335294117647055</v>
      </c>
      <c r="AJ197" s="9">
        <v>2.6787058823529408</v>
      </c>
    </row>
    <row r="198" spans="1:36" x14ac:dyDescent="0.25">
      <c r="A198" s="7" t="s">
        <v>247</v>
      </c>
      <c r="B198" s="27" t="s">
        <v>584</v>
      </c>
      <c r="C198" s="8" t="s">
        <v>146</v>
      </c>
      <c r="D198" s="7" t="s">
        <v>145</v>
      </c>
      <c r="E198" s="7">
        <v>1</v>
      </c>
      <c r="F198" s="7" t="s">
        <v>125</v>
      </c>
      <c r="G198" s="8" t="s">
        <v>995</v>
      </c>
      <c r="H198" s="5">
        <f t="shared" si="3"/>
        <v>112.22432352941175</v>
      </c>
      <c r="I198" s="6">
        <v>0.17699999999999999</v>
      </c>
      <c r="J198" s="6">
        <v>0.14485294117647057</v>
      </c>
      <c r="K198" s="6">
        <v>0.53891176470588231</v>
      </c>
      <c r="L198" s="6">
        <v>0</v>
      </c>
      <c r="M198" s="6">
        <v>0.16673529411764704</v>
      </c>
      <c r="N198" s="6">
        <v>22.551411764705882</v>
      </c>
      <c r="O198" s="6">
        <v>0.39538235294117641</v>
      </c>
      <c r="P198" s="6">
        <v>0.40582352941176464</v>
      </c>
      <c r="Q198" s="6">
        <v>2.1763823529411765</v>
      </c>
      <c r="R198" s="6">
        <v>0.25629411764705878</v>
      </c>
      <c r="S198" s="15">
        <v>9.7469999999999999</v>
      </c>
      <c r="T198" s="15">
        <v>0</v>
      </c>
      <c r="U198" s="15">
        <v>0</v>
      </c>
      <c r="V198" s="9">
        <v>22.97511764705882</v>
      </c>
      <c r="W198" s="9">
        <v>2.1522647058823527</v>
      </c>
      <c r="X198" s="9">
        <v>26.526999999999997</v>
      </c>
      <c r="Y198" s="9">
        <v>0.23817647058823527</v>
      </c>
      <c r="Z198" s="9">
        <v>0.77302941176470585</v>
      </c>
      <c r="AA198" s="9">
        <v>9.1823529411764707E-2</v>
      </c>
      <c r="AB198" s="9">
        <v>0.20694117647058824</v>
      </c>
      <c r="AC198" s="9">
        <v>17.111529411764703</v>
      </c>
      <c r="AD198" s="9">
        <v>4.1147058823529412E-2</v>
      </c>
      <c r="AE198" s="9">
        <v>0.13597058823529412</v>
      </c>
      <c r="AF198" s="9">
        <v>0.34947058823529409</v>
      </c>
      <c r="AG198" s="9">
        <v>3.2382352941176473E-2</v>
      </c>
      <c r="AH198" s="9">
        <v>0.20873529411764705</v>
      </c>
      <c r="AI198" s="9">
        <v>0.49135294117647049</v>
      </c>
      <c r="AJ198" s="9">
        <v>4.3295882352941168</v>
      </c>
    </row>
    <row r="199" spans="1:36" x14ac:dyDescent="0.25">
      <c r="A199" s="8" t="s">
        <v>248</v>
      </c>
      <c r="B199" s="27" t="s">
        <v>585</v>
      </c>
      <c r="C199" s="8" t="s">
        <v>146</v>
      </c>
      <c r="D199" s="8" t="s">
        <v>146</v>
      </c>
      <c r="E199" s="8">
        <v>1</v>
      </c>
      <c r="F199" s="8" t="s">
        <v>125</v>
      </c>
      <c r="G199" s="8" t="s">
        <v>995</v>
      </c>
      <c r="H199" s="5">
        <f t="shared" si="3"/>
        <v>45.094529411764711</v>
      </c>
      <c r="I199" s="6">
        <v>8.3235294117647053E-3</v>
      </c>
      <c r="J199" s="6">
        <v>2.3735294117647059E-2</v>
      </c>
      <c r="K199" s="6">
        <v>0.13597058823529412</v>
      </c>
      <c r="L199" s="6">
        <v>0</v>
      </c>
      <c r="M199" s="6">
        <v>6.6794117647058823E-2</v>
      </c>
      <c r="N199" s="6">
        <v>8.9538529411764696</v>
      </c>
      <c r="O199" s="6">
        <v>0.26029411764705879</v>
      </c>
      <c r="P199" s="6">
        <v>0.38044117647058817</v>
      </c>
      <c r="Q199" s="6">
        <v>0.77511764705882347</v>
      </c>
      <c r="R199" s="6">
        <v>0.12076470588235293</v>
      </c>
      <c r="S199" s="16">
        <v>3.1292941176470586</v>
      </c>
      <c r="T199" s="16">
        <v>0</v>
      </c>
      <c r="U199" s="16">
        <v>2.4411764705882352E-3</v>
      </c>
      <c r="V199" s="6">
        <v>12.251558823529413</v>
      </c>
      <c r="W199" s="6">
        <v>0.73473529411764704</v>
      </c>
      <c r="X199" s="6">
        <v>12.047294117647057</v>
      </c>
      <c r="Y199" s="6">
        <v>0.20252941176470587</v>
      </c>
      <c r="Z199" s="6">
        <v>0.45158823529411762</v>
      </c>
      <c r="AA199" s="6">
        <v>9.7823529411764698E-2</v>
      </c>
      <c r="AB199" s="6">
        <v>0.19147058823529411</v>
      </c>
      <c r="AC199" s="6">
        <v>3.5541470588235291</v>
      </c>
      <c r="AD199" s="6">
        <v>2.3117647058823531E-2</v>
      </c>
      <c r="AE199" s="6">
        <v>8.802941176470587E-2</v>
      </c>
      <c r="AF199" s="6">
        <v>0.14391176470588235</v>
      </c>
      <c r="AG199" s="6">
        <v>1.5411764705882351E-2</v>
      </c>
      <c r="AH199" s="6">
        <v>6.8794117647058825E-2</v>
      </c>
      <c r="AI199" s="6">
        <v>0.1023235294117647</v>
      </c>
      <c r="AJ199" s="6">
        <v>1.2647647058823528</v>
      </c>
    </row>
    <row r="200" spans="1:36" x14ac:dyDescent="0.25">
      <c r="A200" s="8" t="s">
        <v>249</v>
      </c>
      <c r="B200" s="27" t="s">
        <v>586</v>
      </c>
      <c r="C200" s="8" t="s">
        <v>146</v>
      </c>
      <c r="D200" s="8" t="s">
        <v>149</v>
      </c>
      <c r="E200" s="8">
        <v>1</v>
      </c>
      <c r="F200" s="8" t="s">
        <v>125</v>
      </c>
      <c r="G200" s="8" t="s">
        <v>995</v>
      </c>
      <c r="H200" s="5">
        <f t="shared" si="3"/>
        <v>35.290735294117653</v>
      </c>
      <c r="I200" s="6">
        <v>1.026470588235294E-2</v>
      </c>
      <c r="J200" s="6">
        <v>2.423529411764706E-2</v>
      </c>
      <c r="K200" s="6">
        <v>0.13876470588235293</v>
      </c>
      <c r="L200" s="6">
        <v>0</v>
      </c>
      <c r="M200" s="6">
        <v>4.729411764705882E-2</v>
      </c>
      <c r="N200" s="6">
        <v>7.1535294117647048</v>
      </c>
      <c r="O200" s="6">
        <v>0.2492941176470588</v>
      </c>
      <c r="P200" s="6">
        <v>0.21955882352941172</v>
      </c>
      <c r="Q200" s="6">
        <v>0.61591176470588238</v>
      </c>
      <c r="R200" s="6">
        <v>8.4647058823529409E-2</v>
      </c>
      <c r="S200" s="16">
        <v>2.8750294117647055</v>
      </c>
      <c r="T200" s="16">
        <v>0</v>
      </c>
      <c r="U200" s="16">
        <v>5.8823529411764708E-5</v>
      </c>
      <c r="V200" s="6">
        <v>9.3369999999999997</v>
      </c>
      <c r="W200" s="6">
        <v>0.65158823529411758</v>
      </c>
      <c r="X200" s="6">
        <v>8.0964117647058824</v>
      </c>
      <c r="Y200" s="6">
        <v>7.3382352941176468E-2</v>
      </c>
      <c r="Z200" s="6">
        <v>0.29097058823529409</v>
      </c>
      <c r="AA200" s="6">
        <v>3.6588235294117644E-2</v>
      </c>
      <c r="AB200" s="6">
        <v>6.4058823529411765E-2</v>
      </c>
      <c r="AC200" s="6">
        <v>3.9971470588235292</v>
      </c>
      <c r="AD200" s="6">
        <v>1.3823529411764705E-2</v>
      </c>
      <c r="AE200" s="6">
        <v>3.9470588235294111E-2</v>
      </c>
      <c r="AF200" s="6">
        <v>6.670588235294117E-2</v>
      </c>
      <c r="AG200" s="6">
        <v>9.3529411764705882E-3</v>
      </c>
      <c r="AH200" s="6">
        <v>6.2E-2</v>
      </c>
      <c r="AI200" s="6">
        <v>0.12717647058823528</v>
      </c>
      <c r="AJ200" s="6">
        <v>1.006470588235294</v>
      </c>
    </row>
    <row r="201" spans="1:36" x14ac:dyDescent="0.25">
      <c r="A201" s="7" t="s">
        <v>250</v>
      </c>
      <c r="B201" s="27" t="s">
        <v>587</v>
      </c>
      <c r="C201" s="8" t="s">
        <v>146</v>
      </c>
      <c r="D201" s="7" t="s">
        <v>151</v>
      </c>
      <c r="E201" s="7">
        <v>2</v>
      </c>
      <c r="F201" s="8" t="s">
        <v>125</v>
      </c>
      <c r="G201" s="8" t="s">
        <v>995</v>
      </c>
      <c r="H201" s="5">
        <f t="shared" si="3"/>
        <v>257.48350000000005</v>
      </c>
      <c r="I201" s="6">
        <v>0.26585294117647057</v>
      </c>
      <c r="J201" s="6">
        <v>0.23452941176470588</v>
      </c>
      <c r="K201" s="6">
        <v>0.76558823529411757</v>
      </c>
      <c r="L201" s="6">
        <v>0</v>
      </c>
      <c r="M201" s="6">
        <v>0.29676470588235293</v>
      </c>
      <c r="N201" s="6">
        <v>49.505882352941178</v>
      </c>
      <c r="O201" s="6">
        <v>2.3627352941176469</v>
      </c>
      <c r="P201" s="6">
        <v>2.5174411764705877</v>
      </c>
      <c r="Q201" s="6">
        <v>2.8557058823529409</v>
      </c>
      <c r="R201" s="6">
        <v>0.4516470588235294</v>
      </c>
      <c r="S201" s="15">
        <v>17.321999999999999</v>
      </c>
      <c r="T201" s="15">
        <v>0</v>
      </c>
      <c r="U201" s="15">
        <v>0</v>
      </c>
      <c r="V201" s="9">
        <v>87.187323529411756</v>
      </c>
      <c r="W201" s="9">
        <v>4.0954117647058821</v>
      </c>
      <c r="X201" s="9">
        <v>59.452852941176467</v>
      </c>
      <c r="Y201" s="9">
        <v>0.85838235294117637</v>
      </c>
      <c r="Z201" s="9">
        <v>2.7759117647058824</v>
      </c>
      <c r="AA201" s="9">
        <v>0.57602941176470579</v>
      </c>
      <c r="AB201" s="9">
        <v>1.0625294117647059</v>
      </c>
      <c r="AC201" s="9">
        <v>17.579588235294114</v>
      </c>
      <c r="AD201" s="9">
        <v>0.12591176470588233</v>
      </c>
      <c r="AE201" s="9">
        <v>0.35944117647058821</v>
      </c>
      <c r="AF201" s="9">
        <v>0.44447058823529412</v>
      </c>
      <c r="AG201" s="9">
        <v>9.0264705882352927E-2</v>
      </c>
      <c r="AH201" s="9">
        <v>0.27305882352941174</v>
      </c>
      <c r="AI201" s="9">
        <v>0.2176764705882353</v>
      </c>
      <c r="AJ201" s="9">
        <v>5.8064999999999998</v>
      </c>
    </row>
    <row r="202" spans="1:36" x14ac:dyDescent="0.25">
      <c r="A202" s="7" t="s">
        <v>251</v>
      </c>
      <c r="B202" s="27" t="s">
        <v>588</v>
      </c>
      <c r="C202" s="8" t="s">
        <v>146</v>
      </c>
      <c r="D202" s="7" t="s">
        <v>153</v>
      </c>
      <c r="E202" s="7">
        <v>2</v>
      </c>
      <c r="F202" s="8" t="s">
        <v>125</v>
      </c>
      <c r="G202" s="8" t="s">
        <v>995</v>
      </c>
      <c r="H202" s="5">
        <f t="shared" si="3"/>
        <v>69.656676470588238</v>
      </c>
      <c r="I202" s="6">
        <v>0.21226470588235291</v>
      </c>
      <c r="J202" s="6">
        <v>0.15094117647058822</v>
      </c>
      <c r="K202" s="6">
        <v>0.37808823529411761</v>
      </c>
      <c r="L202" s="6">
        <v>0</v>
      </c>
      <c r="M202" s="6">
        <v>0.11255882352941175</v>
      </c>
      <c r="N202" s="6">
        <v>13.812088235294116</v>
      </c>
      <c r="O202" s="6">
        <v>0.29120588235294115</v>
      </c>
      <c r="P202" s="6">
        <v>0.37432352941176467</v>
      </c>
      <c r="Q202" s="6">
        <v>0.9863235294117646</v>
      </c>
      <c r="R202" s="6">
        <v>0.17764705882352941</v>
      </c>
      <c r="S202" s="15">
        <v>7.1050000000000004</v>
      </c>
      <c r="T202" s="15">
        <v>0</v>
      </c>
      <c r="U202" s="15">
        <v>0</v>
      </c>
      <c r="V202" s="9">
        <v>15.369499999999999</v>
      </c>
      <c r="W202" s="9">
        <v>1.2398823529411764</v>
      </c>
      <c r="X202" s="9">
        <v>16.615294117647061</v>
      </c>
      <c r="Y202" s="9">
        <v>0.1308235294117647</v>
      </c>
      <c r="Z202" s="9">
        <v>0.37267647058823522</v>
      </c>
      <c r="AA202" s="9">
        <v>7.2529411764705884E-2</v>
      </c>
      <c r="AB202" s="9">
        <v>0.11752941176470588</v>
      </c>
      <c r="AC202" s="9">
        <v>9.4173235294117639</v>
      </c>
      <c r="AD202" s="9">
        <v>1.7588235294117648E-2</v>
      </c>
      <c r="AE202" s="9">
        <v>9.4676470588235292E-2</v>
      </c>
      <c r="AF202" s="9">
        <v>0.19699999999999998</v>
      </c>
      <c r="AG202" s="9">
        <v>2.1970588235294117E-2</v>
      </c>
      <c r="AH202" s="9">
        <v>8.585294117647059E-2</v>
      </c>
      <c r="AI202" s="9">
        <v>0.26555882352941174</v>
      </c>
      <c r="AJ202" s="9">
        <v>2.0380294117647058</v>
      </c>
    </row>
    <row r="203" spans="1:36" x14ac:dyDescent="0.25">
      <c r="A203" s="7" t="s">
        <v>252</v>
      </c>
      <c r="B203" s="27" t="s">
        <v>589</v>
      </c>
      <c r="C203" s="8" t="s">
        <v>146</v>
      </c>
      <c r="D203" s="7" t="s">
        <v>155</v>
      </c>
      <c r="E203" s="7">
        <v>2</v>
      </c>
      <c r="F203" s="8" t="s">
        <v>125</v>
      </c>
      <c r="G203" s="8" t="s">
        <v>995</v>
      </c>
      <c r="H203" s="5">
        <f t="shared" si="3"/>
        <v>124.3685</v>
      </c>
      <c r="I203" s="6">
        <v>0.24011764705882352</v>
      </c>
      <c r="J203" s="6">
        <v>0.19547058823529412</v>
      </c>
      <c r="K203" s="6">
        <v>0.57611764705882351</v>
      </c>
      <c r="L203" s="6">
        <v>0</v>
      </c>
      <c r="M203" s="6">
        <v>0.18985294117647056</v>
      </c>
      <c r="N203" s="6">
        <v>23.56176470588235</v>
      </c>
      <c r="O203" s="6">
        <v>0.56717647058823528</v>
      </c>
      <c r="P203" s="6">
        <v>0.93849999999999989</v>
      </c>
      <c r="Q203" s="6">
        <v>1.5195588235294117</v>
      </c>
      <c r="R203" s="6">
        <v>0.2662647058823529</v>
      </c>
      <c r="S203" s="15">
        <v>9.9930000000000003</v>
      </c>
      <c r="T203" s="15">
        <v>0</v>
      </c>
      <c r="U203" s="15">
        <v>0</v>
      </c>
      <c r="V203" s="9">
        <v>38.271264705882352</v>
      </c>
      <c r="W203" s="9">
        <v>2.3216470588235292</v>
      </c>
      <c r="X203" s="9">
        <v>25.793176470588232</v>
      </c>
      <c r="Y203" s="9">
        <v>0.27823529411764703</v>
      </c>
      <c r="Z203" s="9">
        <v>0.75764705882352934</v>
      </c>
      <c r="AA203" s="9">
        <v>0.14679411764705882</v>
      </c>
      <c r="AB203" s="9">
        <v>0.2580294117647059</v>
      </c>
      <c r="AC203" s="9">
        <v>13.771529411764703</v>
      </c>
      <c r="AD203" s="9">
        <v>3.3735294117647051E-2</v>
      </c>
      <c r="AE203" s="9">
        <v>0.13185294117647059</v>
      </c>
      <c r="AF203" s="9">
        <v>0.31317647058823528</v>
      </c>
      <c r="AG203" s="9">
        <v>3.391176470588235E-2</v>
      </c>
      <c r="AH203" s="9">
        <v>0.19191176470588234</v>
      </c>
      <c r="AI203" s="9">
        <v>0.3499411764705882</v>
      </c>
      <c r="AJ203" s="9">
        <v>3.6678235294117645</v>
      </c>
    </row>
    <row r="204" spans="1:36" x14ac:dyDescent="0.25">
      <c r="A204" s="8" t="s">
        <v>253</v>
      </c>
      <c r="B204" s="27" t="s">
        <v>590</v>
      </c>
      <c r="C204" s="8" t="s">
        <v>146</v>
      </c>
      <c r="D204" s="8" t="s">
        <v>157</v>
      </c>
      <c r="E204" s="8">
        <v>2</v>
      </c>
      <c r="F204" s="8" t="s">
        <v>125</v>
      </c>
      <c r="G204" s="8" t="s">
        <v>995</v>
      </c>
      <c r="H204" s="5">
        <f t="shared" si="3"/>
        <v>39.725411764705868</v>
      </c>
      <c r="I204" s="6">
        <v>1.0794117647058822E-2</v>
      </c>
      <c r="J204" s="6">
        <v>2.9823529411764704E-2</v>
      </c>
      <c r="K204" s="6">
        <v>0.13785294117647059</v>
      </c>
      <c r="L204" s="6">
        <v>0</v>
      </c>
      <c r="M204" s="6">
        <v>6.9529411764705881E-2</v>
      </c>
      <c r="N204" s="6">
        <v>9.0165882352941171</v>
      </c>
      <c r="O204" s="6">
        <v>0.12755882352941175</v>
      </c>
      <c r="P204" s="6">
        <v>0.16876470588235293</v>
      </c>
      <c r="Q204" s="6">
        <v>0.5195294117647058</v>
      </c>
      <c r="R204" s="6">
        <v>0.12108823529411764</v>
      </c>
      <c r="S204" s="16">
        <v>3.615176470588235</v>
      </c>
      <c r="T204" s="16">
        <v>4.1176470588235288E-3</v>
      </c>
      <c r="U204" s="16">
        <v>6.8529411764705877E-3</v>
      </c>
      <c r="V204" s="6">
        <v>7.1156176470588228</v>
      </c>
      <c r="W204" s="6">
        <v>0.48311764705882349</v>
      </c>
      <c r="X204" s="6">
        <v>11.309676470588235</v>
      </c>
      <c r="Y204" s="6">
        <v>0.17920588235294116</v>
      </c>
      <c r="Z204" s="6">
        <v>0.30505882352941177</v>
      </c>
      <c r="AA204" s="6">
        <v>7.485294117647058E-2</v>
      </c>
      <c r="AB204" s="6">
        <v>8.8999999999999996E-2</v>
      </c>
      <c r="AC204" s="6">
        <v>4.485882352941176</v>
      </c>
      <c r="AD204" s="6">
        <v>1.7088235294117647E-2</v>
      </c>
      <c r="AE204" s="6">
        <v>0.10302941176470587</v>
      </c>
      <c r="AF204" s="6">
        <v>0.15014705882352938</v>
      </c>
      <c r="AG204" s="6">
        <v>1.088235294117647E-2</v>
      </c>
      <c r="AH204" s="6">
        <v>6.0647058823529408E-2</v>
      </c>
      <c r="AI204" s="6">
        <v>0.10305882352941176</v>
      </c>
      <c r="AJ204" s="6">
        <v>1.4104705882352939</v>
      </c>
    </row>
    <row r="205" spans="1:36" x14ac:dyDescent="0.25">
      <c r="A205" s="8" t="s">
        <v>254</v>
      </c>
      <c r="B205" s="27" t="s">
        <v>591</v>
      </c>
      <c r="C205" s="8" t="s">
        <v>146</v>
      </c>
      <c r="D205" s="8" t="s">
        <v>159</v>
      </c>
      <c r="E205" s="8">
        <v>2</v>
      </c>
      <c r="F205" s="8" t="s">
        <v>125</v>
      </c>
      <c r="G205" s="8" t="s">
        <v>995</v>
      </c>
      <c r="H205" s="5">
        <f t="shared" si="3"/>
        <v>56.871294117647054</v>
      </c>
      <c r="I205" s="6">
        <v>1.4852941176470586E-2</v>
      </c>
      <c r="J205" s="6">
        <v>4.0029411764705883E-2</v>
      </c>
      <c r="K205" s="6">
        <v>0.19211764705882353</v>
      </c>
      <c r="L205" s="6">
        <v>0</v>
      </c>
      <c r="M205" s="6">
        <v>7.4558823529411761E-2</v>
      </c>
      <c r="N205" s="6">
        <v>11.119705882352941</v>
      </c>
      <c r="O205" s="6">
        <v>0.40785294117647053</v>
      </c>
      <c r="P205" s="6">
        <v>0.67638235294117643</v>
      </c>
      <c r="Q205" s="6">
        <v>0.7120294117647058</v>
      </c>
      <c r="R205" s="6">
        <v>0.15011764705882352</v>
      </c>
      <c r="S205" s="16">
        <v>5.5645882352941172</v>
      </c>
      <c r="T205" s="16">
        <v>9.6764705882352933E-3</v>
      </c>
      <c r="U205" s="16">
        <v>1.4058823529411764E-2</v>
      </c>
      <c r="V205" s="6">
        <v>13.82720588235294</v>
      </c>
      <c r="W205" s="6">
        <v>0.90676470588235292</v>
      </c>
      <c r="X205" s="6">
        <v>12.348558823529411</v>
      </c>
      <c r="Y205" s="6">
        <v>0.12144117647058823</v>
      </c>
      <c r="Z205" s="6">
        <v>0.34261764705882347</v>
      </c>
      <c r="AA205" s="6">
        <v>5.5323529411764702E-2</v>
      </c>
      <c r="AB205" s="6">
        <v>9.1323529411764706E-2</v>
      </c>
      <c r="AC205" s="6">
        <v>7.7743529411764696</v>
      </c>
      <c r="AD205" s="6">
        <v>1.5882352941176469E-2</v>
      </c>
      <c r="AE205" s="6">
        <v>6.8176470588235283E-2</v>
      </c>
      <c r="AF205" s="6">
        <v>0.12038235294117647</v>
      </c>
      <c r="AG205" s="6">
        <v>1.2500000000000001E-2</v>
      </c>
      <c r="AH205" s="6">
        <v>8.7764705882352925E-2</v>
      </c>
      <c r="AI205" s="6">
        <v>0.21894117647058822</v>
      </c>
      <c r="AJ205" s="6">
        <v>1.9040882352941175</v>
      </c>
    </row>
    <row r="206" spans="1:36" x14ac:dyDescent="0.25">
      <c r="A206" s="7" t="s">
        <v>255</v>
      </c>
      <c r="B206" s="27" t="s">
        <v>592</v>
      </c>
      <c r="C206" s="8" t="s">
        <v>146</v>
      </c>
      <c r="D206" s="7" t="s">
        <v>163</v>
      </c>
      <c r="E206" s="7">
        <v>6</v>
      </c>
      <c r="F206" s="8" t="s">
        <v>125</v>
      </c>
      <c r="G206" s="8" t="s">
        <v>995</v>
      </c>
      <c r="H206" s="5">
        <f t="shared" si="3"/>
        <v>77.535205882352955</v>
      </c>
      <c r="I206" s="6">
        <v>0.26558823529411762</v>
      </c>
      <c r="J206" s="6">
        <v>0.19967647058823529</v>
      </c>
      <c r="K206" s="6">
        <v>0.3584705882352941</v>
      </c>
      <c r="L206" s="6">
        <v>0</v>
      </c>
      <c r="M206" s="6">
        <v>0.12138235294117647</v>
      </c>
      <c r="N206" s="6">
        <v>15.570852941176469</v>
      </c>
      <c r="O206" s="6">
        <v>0.31905882352941173</v>
      </c>
      <c r="P206" s="6">
        <v>0.30370588235294116</v>
      </c>
      <c r="Q206" s="6">
        <v>1.1455588235294116</v>
      </c>
      <c r="R206" s="6">
        <v>0.17602941176470588</v>
      </c>
      <c r="S206" s="15">
        <v>7.9340000000000002</v>
      </c>
      <c r="T206" s="15">
        <v>0</v>
      </c>
      <c r="U206" s="15">
        <v>4.2000000000000003E-2</v>
      </c>
      <c r="V206" s="9">
        <v>13.986411764705881</v>
      </c>
      <c r="W206" s="9">
        <v>1.2582058823529412</v>
      </c>
      <c r="X206" s="9">
        <v>18.404264705882351</v>
      </c>
      <c r="Y206" s="9">
        <v>0.25355882352941173</v>
      </c>
      <c r="Z206" s="9">
        <v>0.35805882352941176</v>
      </c>
      <c r="AA206" s="9">
        <v>7.0470588235294104E-2</v>
      </c>
      <c r="AB206" s="9">
        <v>0.13505882352941176</v>
      </c>
      <c r="AC206" s="9">
        <v>12.464147058823528</v>
      </c>
      <c r="AD206" s="9">
        <v>2.5235294117647061E-2</v>
      </c>
      <c r="AE206" s="9">
        <v>0.11291176470588235</v>
      </c>
      <c r="AF206" s="9">
        <v>0.28055882352941175</v>
      </c>
      <c r="AG206" s="9">
        <v>2.5794117647058822E-2</v>
      </c>
      <c r="AH206" s="9">
        <v>0.12373529411764705</v>
      </c>
      <c r="AI206" s="9">
        <v>0.34526470588235292</v>
      </c>
      <c r="AJ206" s="9">
        <v>3.2552058823529411</v>
      </c>
    </row>
    <row r="207" spans="1:36" x14ac:dyDescent="0.25">
      <c r="A207" s="7" t="s">
        <v>256</v>
      </c>
      <c r="B207" s="27" t="s">
        <v>593</v>
      </c>
      <c r="C207" s="8" t="s">
        <v>146</v>
      </c>
      <c r="D207" s="7" t="s">
        <v>165</v>
      </c>
      <c r="E207" s="7">
        <v>6</v>
      </c>
      <c r="F207" s="8" t="s">
        <v>125</v>
      </c>
      <c r="G207" s="8" t="s">
        <v>995</v>
      </c>
      <c r="H207" s="5">
        <f t="shared" si="3"/>
        <v>76.183941176470583</v>
      </c>
      <c r="I207" s="6">
        <v>0.21091176470588233</v>
      </c>
      <c r="J207" s="6">
        <v>0.17023529411764704</v>
      </c>
      <c r="K207" s="6">
        <v>0.43267647058823522</v>
      </c>
      <c r="L207" s="6">
        <v>0</v>
      </c>
      <c r="M207" s="6">
        <v>0.12408823529411764</v>
      </c>
      <c r="N207" s="6">
        <v>16.269117647058824</v>
      </c>
      <c r="O207" s="6">
        <v>0.26347058823529412</v>
      </c>
      <c r="P207" s="6">
        <v>0.28441176470588231</v>
      </c>
      <c r="Q207" s="6">
        <v>1.2416470588235293</v>
      </c>
      <c r="R207" s="6">
        <v>0.16202941176470587</v>
      </c>
      <c r="S207" s="15">
        <v>6.9160000000000004</v>
      </c>
      <c r="T207" s="15">
        <v>0</v>
      </c>
      <c r="U207" s="15">
        <v>4.9000000000000002E-2</v>
      </c>
      <c r="V207" s="9">
        <v>12.471852941176468</v>
      </c>
      <c r="W207" s="9">
        <v>1.2060882352941176</v>
      </c>
      <c r="X207" s="9">
        <v>17.701882352941176</v>
      </c>
      <c r="Y207" s="9">
        <v>0.19508823529411762</v>
      </c>
      <c r="Z207" s="9">
        <v>0.34764705882352936</v>
      </c>
      <c r="AA207" s="9">
        <v>7.3617647058823524E-2</v>
      </c>
      <c r="AB207" s="9">
        <v>0.14888235294117647</v>
      </c>
      <c r="AC207" s="9">
        <v>13.301970588235292</v>
      </c>
      <c r="AD207" s="9">
        <v>1.8647058823529412E-2</v>
      </c>
      <c r="AE207" s="9">
        <v>0.12591176470588233</v>
      </c>
      <c r="AF207" s="9">
        <v>0.24455882352941175</v>
      </c>
      <c r="AG207" s="9">
        <v>2.1705882352941176E-2</v>
      </c>
      <c r="AH207" s="9">
        <v>0.15470588235294117</v>
      </c>
      <c r="AI207" s="9">
        <v>0.34308823529411764</v>
      </c>
      <c r="AJ207" s="9">
        <v>3.7047058823529411</v>
      </c>
    </row>
    <row r="208" spans="1:36" x14ac:dyDescent="0.25">
      <c r="A208" s="7" t="s">
        <v>257</v>
      </c>
      <c r="B208" s="27" t="s">
        <v>594</v>
      </c>
      <c r="C208" s="8" t="s">
        <v>146</v>
      </c>
      <c r="D208" s="7" t="s">
        <v>161</v>
      </c>
      <c r="E208" s="7">
        <v>6</v>
      </c>
      <c r="F208" s="8" t="s">
        <v>125</v>
      </c>
      <c r="G208" s="8" t="s">
        <v>995</v>
      </c>
      <c r="H208" s="5">
        <f t="shared" si="3"/>
        <v>54.274705882352947</v>
      </c>
      <c r="I208" s="6">
        <v>0.20499999999999999</v>
      </c>
      <c r="J208" s="6">
        <v>0.13170588235294117</v>
      </c>
      <c r="K208" s="6">
        <v>0.33270588235294113</v>
      </c>
      <c r="L208" s="6">
        <v>0</v>
      </c>
      <c r="M208" s="6">
        <v>0.10841176470588233</v>
      </c>
      <c r="N208" s="6">
        <v>11.571558823529411</v>
      </c>
      <c r="O208" s="6">
        <v>0.14079411764705882</v>
      </c>
      <c r="P208" s="6">
        <v>0.24967647058823525</v>
      </c>
      <c r="Q208" s="6">
        <v>0.74220588235294116</v>
      </c>
      <c r="R208" s="6">
        <v>0.15655882352941175</v>
      </c>
      <c r="S208" s="15">
        <v>5.641</v>
      </c>
      <c r="T208" s="15">
        <v>0</v>
      </c>
      <c r="U208" s="15">
        <v>2.7E-2</v>
      </c>
      <c r="V208" s="9">
        <v>7.8659117647058814</v>
      </c>
      <c r="W208" s="9">
        <v>0.83182352941176474</v>
      </c>
      <c r="X208" s="9">
        <v>13.639352941176471</v>
      </c>
      <c r="Y208" s="9">
        <v>0.11038235294117646</v>
      </c>
      <c r="Z208" s="9">
        <v>0.26673529411764707</v>
      </c>
      <c r="AA208" s="9">
        <v>6.2764705882352945E-2</v>
      </c>
      <c r="AB208" s="9">
        <v>0.13597058823529412</v>
      </c>
      <c r="AC208" s="9">
        <v>9.430088235294118</v>
      </c>
      <c r="AD208" s="9">
        <v>1.679411764705882E-2</v>
      </c>
      <c r="AE208" s="9">
        <v>8.3058823529411768E-2</v>
      </c>
      <c r="AF208" s="9">
        <v>9.4088235294117639E-2</v>
      </c>
      <c r="AG208" s="9">
        <v>2.852941176470588E-2</v>
      </c>
      <c r="AH208" s="9">
        <v>9.8441176470588226E-2</v>
      </c>
      <c r="AI208" s="9">
        <v>0.23220588235294118</v>
      </c>
      <c r="AJ208" s="9">
        <v>2.0719411764705882</v>
      </c>
    </row>
    <row r="209" spans="1:36" x14ac:dyDescent="0.25">
      <c r="A209" s="8" t="s">
        <v>258</v>
      </c>
      <c r="B209" s="27" t="s">
        <v>595</v>
      </c>
      <c r="C209" s="8" t="s">
        <v>146</v>
      </c>
      <c r="D209" s="8" t="s">
        <v>167</v>
      </c>
      <c r="E209" s="8">
        <v>6</v>
      </c>
      <c r="F209" s="8" t="s">
        <v>125</v>
      </c>
      <c r="G209" s="8" t="s">
        <v>995</v>
      </c>
      <c r="H209" s="5">
        <f t="shared" si="3"/>
        <v>54.510823529411759</v>
      </c>
      <c r="I209" s="6">
        <v>1.7735294117647057E-2</v>
      </c>
      <c r="J209" s="6">
        <v>4.6676470588235285E-2</v>
      </c>
      <c r="K209" s="6">
        <v>0.24179411764705883</v>
      </c>
      <c r="L209" s="6">
        <v>0</v>
      </c>
      <c r="M209" s="6">
        <v>8.4588235294117645E-2</v>
      </c>
      <c r="N209" s="6">
        <v>11.28835294117647</v>
      </c>
      <c r="O209" s="6">
        <v>0.15938235294117648</v>
      </c>
      <c r="P209" s="6">
        <v>0.38829411764705879</v>
      </c>
      <c r="Q209" s="6">
        <v>0.97861764705882348</v>
      </c>
      <c r="R209" s="6">
        <v>0.1371470588235294</v>
      </c>
      <c r="S209" s="16">
        <v>5.3616176470588233</v>
      </c>
      <c r="T209" s="16">
        <v>1.8117647058823527E-2</v>
      </c>
      <c r="U209" s="16">
        <v>4.1558823529411759E-2</v>
      </c>
      <c r="V209" s="6">
        <v>9.9580294117647057</v>
      </c>
      <c r="W209" s="6">
        <v>0.89114705882352929</v>
      </c>
      <c r="X209" s="6">
        <v>12.819999999999999</v>
      </c>
      <c r="Y209" s="6">
        <v>0.13879411764705882</v>
      </c>
      <c r="Z209" s="6">
        <v>0.36732352941176466</v>
      </c>
      <c r="AA209" s="6">
        <v>4.3352941176470587E-2</v>
      </c>
      <c r="AB209" s="6">
        <v>0.10897058823529411</v>
      </c>
      <c r="AC209" s="6">
        <v>8.3817058823529411</v>
      </c>
      <c r="AD209" s="6">
        <v>2.364705882352941E-2</v>
      </c>
      <c r="AE209" s="6">
        <v>7.3941176470588232E-2</v>
      </c>
      <c r="AF209" s="6">
        <v>0.21432352941176469</v>
      </c>
      <c r="AG209" s="6">
        <v>1.6647058823529411E-2</v>
      </c>
      <c r="AH209" s="6">
        <v>0.10079411764705883</v>
      </c>
      <c r="AI209" s="6">
        <v>0.23391176470588235</v>
      </c>
      <c r="AJ209" s="6">
        <v>2.3743529411764706</v>
      </c>
    </row>
    <row r="210" spans="1:36" x14ac:dyDescent="0.25">
      <c r="A210" s="8" t="s">
        <v>259</v>
      </c>
      <c r="B210" s="27" t="s">
        <v>596</v>
      </c>
      <c r="C210" s="8" t="s">
        <v>146</v>
      </c>
      <c r="D210" s="8" t="s">
        <v>169</v>
      </c>
      <c r="E210" s="8">
        <v>6</v>
      </c>
      <c r="F210" s="8" t="s">
        <v>125</v>
      </c>
      <c r="G210" s="8" t="s">
        <v>995</v>
      </c>
      <c r="H210" s="5">
        <f t="shared" si="3"/>
        <v>55.785735294117643</v>
      </c>
      <c r="I210" s="6">
        <v>1.7264705882352939E-2</v>
      </c>
      <c r="J210" s="6">
        <v>4.9588235294117641E-2</v>
      </c>
      <c r="K210" s="6">
        <v>0.27417647058823524</v>
      </c>
      <c r="L210" s="6">
        <v>0</v>
      </c>
      <c r="M210" s="6">
        <v>9.0705882352941164E-2</v>
      </c>
      <c r="N210" s="6">
        <v>12.360529411764706</v>
      </c>
      <c r="O210" s="6">
        <v>7.6147058823529401E-2</v>
      </c>
      <c r="P210" s="6">
        <v>0.25105882352941178</v>
      </c>
      <c r="Q210" s="6">
        <v>1.157470588235294</v>
      </c>
      <c r="R210" s="6">
        <v>0.15382352941176469</v>
      </c>
      <c r="S210" s="16">
        <v>5.0774117647058823</v>
      </c>
      <c r="T210" s="16">
        <v>7.2058823529411757E-3</v>
      </c>
      <c r="U210" s="16">
        <v>1.0441176470588235E-2</v>
      </c>
      <c r="V210" s="6">
        <v>8.0138529411764701</v>
      </c>
      <c r="W210" s="6">
        <v>0.81532352941176467</v>
      </c>
      <c r="X210" s="6">
        <v>13.771735294117645</v>
      </c>
      <c r="Y210" s="6">
        <v>0.1771764705882353</v>
      </c>
      <c r="Z210" s="6">
        <v>0.42985294117647055</v>
      </c>
      <c r="AA210" s="6">
        <v>3.2000000000000001E-2</v>
      </c>
      <c r="AB210" s="6">
        <v>6.2647058823529403E-2</v>
      </c>
      <c r="AC210" s="6">
        <v>9.4688529411764701</v>
      </c>
      <c r="AD210" s="6">
        <v>2.4941176470588234E-2</v>
      </c>
      <c r="AE210" s="6">
        <v>6.6794117647058823E-2</v>
      </c>
      <c r="AF210" s="6">
        <v>0.24670588235294114</v>
      </c>
      <c r="AG210" s="6">
        <v>1.3558823529411766E-2</v>
      </c>
      <c r="AH210" s="6">
        <v>0.13461764705882351</v>
      </c>
      <c r="AI210" s="6">
        <v>0.24876470588235292</v>
      </c>
      <c r="AJ210" s="6">
        <v>2.7530882352941175</v>
      </c>
    </row>
    <row r="211" spans="1:36" x14ac:dyDescent="0.25">
      <c r="A211" s="7" t="s">
        <v>260</v>
      </c>
      <c r="B211" s="27" t="s">
        <v>597</v>
      </c>
      <c r="C211" s="7" t="s">
        <v>261</v>
      </c>
      <c r="D211" s="7" t="s">
        <v>262</v>
      </c>
      <c r="E211" s="7">
        <v>0</v>
      </c>
      <c r="F211" s="7" t="s">
        <v>13</v>
      </c>
      <c r="G211" s="8" t="s">
        <v>1012</v>
      </c>
      <c r="H211" s="5">
        <f t="shared" si="3"/>
        <v>61.75655882352941</v>
      </c>
      <c r="I211" s="6">
        <v>6.002941176470588E-2</v>
      </c>
      <c r="J211" s="6">
        <v>0.36702941176470583</v>
      </c>
      <c r="K211" s="6">
        <v>1.281735294117647</v>
      </c>
      <c r="L211" s="6">
        <v>0</v>
      </c>
      <c r="M211" s="6">
        <v>0.26129411764705879</v>
      </c>
      <c r="N211" s="6">
        <v>16.717735294117645</v>
      </c>
      <c r="O211" s="6">
        <v>0</v>
      </c>
      <c r="P211" s="6">
        <v>0</v>
      </c>
      <c r="Q211" s="6">
        <v>3.8526764705882348</v>
      </c>
      <c r="R211" s="6">
        <v>0.20402941176470588</v>
      </c>
      <c r="S211" s="15">
        <v>6.7859999999999996</v>
      </c>
      <c r="T211" s="15">
        <v>0</v>
      </c>
      <c r="U211" s="15">
        <v>0</v>
      </c>
      <c r="V211" s="6">
        <v>12.185529411764707</v>
      </c>
      <c r="W211" s="6">
        <v>2.1918823529411764</v>
      </c>
      <c r="X211" s="6">
        <v>9.272176470588235</v>
      </c>
      <c r="Y211" s="6">
        <v>0.11699999999999999</v>
      </c>
      <c r="Z211" s="6">
        <v>0.40891176470588231</v>
      </c>
      <c r="AA211" s="6">
        <v>0.19444117647058823</v>
      </c>
      <c r="AB211" s="6">
        <v>0.22823529411764704</v>
      </c>
      <c r="AC211" s="6">
        <v>5.0799117647058818</v>
      </c>
      <c r="AD211" s="6">
        <v>7.0058823529411757E-2</v>
      </c>
      <c r="AE211" s="6">
        <v>0.21967647058823531</v>
      </c>
      <c r="AF211" s="6">
        <v>0.123</v>
      </c>
      <c r="AG211" s="6">
        <v>8.3794117647058824E-2</v>
      </c>
      <c r="AH211" s="6">
        <v>0.77802941176470575</v>
      </c>
      <c r="AI211" s="6">
        <v>0.17182352941176468</v>
      </c>
      <c r="AJ211" s="6">
        <v>1.1015588235294116</v>
      </c>
    </row>
    <row r="212" spans="1:36" x14ac:dyDescent="0.25">
      <c r="A212" s="8" t="s">
        <v>263</v>
      </c>
      <c r="B212" s="27" t="s">
        <v>598</v>
      </c>
      <c r="C212" s="8" t="s">
        <v>261</v>
      </c>
      <c r="D212" s="8" t="s">
        <v>264</v>
      </c>
      <c r="E212" s="8">
        <v>1</v>
      </c>
      <c r="F212" s="8" t="s">
        <v>13</v>
      </c>
      <c r="G212" s="8" t="s">
        <v>1012</v>
      </c>
      <c r="H212" s="5">
        <f t="shared" si="3"/>
        <v>139.59755882352943</v>
      </c>
      <c r="I212" s="6">
        <v>8.9705882352941163E-2</v>
      </c>
      <c r="J212" s="6">
        <v>0.37470588235294117</v>
      </c>
      <c r="K212" s="6">
        <v>1.8002352941176467</v>
      </c>
      <c r="L212" s="6">
        <v>0</v>
      </c>
      <c r="M212" s="6">
        <v>0.44655882352941173</v>
      </c>
      <c r="N212" s="6">
        <v>34.765000000000001</v>
      </c>
      <c r="O212" s="6">
        <v>0</v>
      </c>
      <c r="P212" s="6">
        <v>1.5176470588235291E-2</v>
      </c>
      <c r="Q212" s="6">
        <v>7.1489705882352936</v>
      </c>
      <c r="R212" s="6">
        <v>0.38147058823529412</v>
      </c>
      <c r="S212" s="16">
        <v>8.4212941176470579</v>
      </c>
      <c r="T212" s="16">
        <v>0</v>
      </c>
      <c r="U212" s="16">
        <v>0</v>
      </c>
      <c r="V212" s="6">
        <v>33.331147058823525</v>
      </c>
      <c r="W212" s="6">
        <v>3.9101764705882354</v>
      </c>
      <c r="X212" s="6">
        <v>38.747588235294117</v>
      </c>
      <c r="Y212" s="6">
        <v>0.15705882352941175</v>
      </c>
      <c r="Z212" s="6">
        <v>1.9927352941176468</v>
      </c>
      <c r="AA212" s="6">
        <v>0.21682352941176466</v>
      </c>
      <c r="AB212" s="6">
        <v>0.71670588235294119</v>
      </c>
      <c r="AC212" s="6">
        <v>4.773735294117647</v>
      </c>
      <c r="AD212" s="6">
        <v>6.8911764705882339E-2</v>
      </c>
      <c r="AE212" s="6">
        <v>0.18061764705882352</v>
      </c>
      <c r="AF212" s="6">
        <v>0.12629411764705881</v>
      </c>
      <c r="AG212" s="6">
        <v>8.067647058823528E-2</v>
      </c>
      <c r="AH212" s="6">
        <v>0.67799999999999994</v>
      </c>
      <c r="AI212" s="6">
        <v>0.14532352941176471</v>
      </c>
      <c r="AJ212" s="6">
        <v>1.0286470588235292</v>
      </c>
    </row>
    <row r="213" spans="1:36" x14ac:dyDescent="0.25">
      <c r="A213" s="8" t="s">
        <v>265</v>
      </c>
      <c r="B213" s="27" t="s">
        <v>599</v>
      </c>
      <c r="C213" s="8" t="s">
        <v>261</v>
      </c>
      <c r="D213" s="8" t="s">
        <v>266</v>
      </c>
      <c r="E213" s="8">
        <v>1</v>
      </c>
      <c r="F213" s="8" t="s">
        <v>13</v>
      </c>
      <c r="G213" s="8" t="s">
        <v>1012</v>
      </c>
      <c r="H213" s="5">
        <f t="shared" si="3"/>
        <v>120.12517647058826</v>
      </c>
      <c r="I213" s="6">
        <v>8.985294117647058E-2</v>
      </c>
      <c r="J213" s="6">
        <v>0.38773529411764701</v>
      </c>
      <c r="K213" s="6">
        <v>1.8936176470588235</v>
      </c>
      <c r="L213" s="6">
        <v>0</v>
      </c>
      <c r="M213" s="6">
        <v>0.33711764705882352</v>
      </c>
      <c r="N213" s="6">
        <v>30.195882352941176</v>
      </c>
      <c r="O213" s="6">
        <v>0</v>
      </c>
      <c r="P213" s="6">
        <v>0</v>
      </c>
      <c r="Q213" s="6">
        <v>4.5875882352941169</v>
      </c>
      <c r="R213" s="6">
        <v>0.37991176470588234</v>
      </c>
      <c r="S213" s="16">
        <v>9.5396470588235278</v>
      </c>
      <c r="T213" s="16">
        <v>0</v>
      </c>
      <c r="U213" s="16">
        <v>1.764705882352941E-4</v>
      </c>
      <c r="V213" s="6">
        <v>30.146588235294118</v>
      </c>
      <c r="W213" s="6">
        <v>3.049588235294117</v>
      </c>
      <c r="X213" s="6">
        <v>29.207823529411762</v>
      </c>
      <c r="Y213" s="6">
        <v>9.6382352941176461E-2</v>
      </c>
      <c r="Z213" s="6">
        <v>1.2154705882352941</v>
      </c>
      <c r="AA213" s="6">
        <v>0.21176470588235291</v>
      </c>
      <c r="AB213" s="6">
        <v>0.66747058823529404</v>
      </c>
      <c r="AC213" s="6">
        <v>5.5389705882352942</v>
      </c>
      <c r="AD213" s="6">
        <v>3.470588235294117E-2</v>
      </c>
      <c r="AE213" s="6">
        <v>0.19461764705882353</v>
      </c>
      <c r="AF213" s="6">
        <v>9.3323529411764708E-2</v>
      </c>
      <c r="AG213" s="6">
        <v>8.5764705882352923E-2</v>
      </c>
      <c r="AH213" s="6">
        <v>0.83047058823529407</v>
      </c>
      <c r="AI213" s="6">
        <v>0.1802941176470588</v>
      </c>
      <c r="AJ213" s="6">
        <v>1.1604117647058823</v>
      </c>
    </row>
    <row r="214" spans="1:36" x14ac:dyDescent="0.25">
      <c r="A214" s="7" t="s">
        <v>267</v>
      </c>
      <c r="B214" s="27" t="s">
        <v>600</v>
      </c>
      <c r="C214" s="7" t="s">
        <v>261</v>
      </c>
      <c r="D214" s="7" t="s">
        <v>268</v>
      </c>
      <c r="E214" s="7">
        <v>1</v>
      </c>
      <c r="F214" s="7" t="s">
        <v>13</v>
      </c>
      <c r="G214" s="8" t="s">
        <v>1012</v>
      </c>
      <c r="H214" s="5">
        <f t="shared" si="3"/>
        <v>83.753705882352946</v>
      </c>
      <c r="I214" s="6">
        <v>6.4176470588235293E-2</v>
      </c>
      <c r="J214" s="6">
        <v>0.37799999999999995</v>
      </c>
      <c r="K214" s="6">
        <v>1.7270882352941175</v>
      </c>
      <c r="L214" s="6">
        <v>0</v>
      </c>
      <c r="M214" s="6">
        <v>0.36491176470588232</v>
      </c>
      <c r="N214" s="6">
        <v>21.103911764705881</v>
      </c>
      <c r="O214" s="6">
        <v>0</v>
      </c>
      <c r="P214" s="6">
        <v>3.9499999999999993E-2</v>
      </c>
      <c r="Q214" s="6">
        <v>6.1331764705882348</v>
      </c>
      <c r="R214" s="6">
        <v>0.25358823529411761</v>
      </c>
      <c r="S214" s="15">
        <v>7.2439999999999998</v>
      </c>
      <c r="T214" s="15">
        <v>0</v>
      </c>
      <c r="U214" s="15">
        <v>0</v>
      </c>
      <c r="V214" s="6">
        <v>19.342676470588234</v>
      </c>
      <c r="W214" s="6">
        <v>2.9764411764705878</v>
      </c>
      <c r="X214" s="6">
        <v>14.814</v>
      </c>
      <c r="Y214" s="6">
        <v>0.1318235294117647</v>
      </c>
      <c r="Z214" s="6">
        <v>0.69511764705882351</v>
      </c>
      <c r="AA214" s="6">
        <v>0.22552941176470587</v>
      </c>
      <c r="AB214" s="6">
        <v>0.29838235294117643</v>
      </c>
      <c r="AC214" s="6">
        <v>5.1985588235294111</v>
      </c>
      <c r="AD214" s="6">
        <v>6.8558823529411755E-2</v>
      </c>
      <c r="AE214" s="6">
        <v>0.21632352941176469</v>
      </c>
      <c r="AF214" s="6">
        <v>0.10041176470588234</v>
      </c>
      <c r="AG214" s="6">
        <v>8.3941176470588227E-2</v>
      </c>
      <c r="AH214" s="6">
        <v>0.85008823529411759</v>
      </c>
      <c r="AI214" s="6">
        <v>0.21270588235294113</v>
      </c>
      <c r="AJ214" s="6">
        <v>1.2307941176470587</v>
      </c>
    </row>
    <row r="215" spans="1:36" x14ac:dyDescent="0.25">
      <c r="A215" s="7" t="s">
        <v>269</v>
      </c>
      <c r="B215" s="27" t="s">
        <v>601</v>
      </c>
      <c r="C215" s="7" t="s">
        <v>261</v>
      </c>
      <c r="D215" s="7" t="s">
        <v>270</v>
      </c>
      <c r="E215" s="7">
        <v>1</v>
      </c>
      <c r="F215" s="7" t="s">
        <v>13</v>
      </c>
      <c r="G215" s="8" t="s">
        <v>1012</v>
      </c>
      <c r="H215" s="5">
        <f t="shared" si="3"/>
        <v>86.350117647058838</v>
      </c>
      <c r="I215" s="6">
        <v>5.3205882352941165E-2</v>
      </c>
      <c r="J215" s="6">
        <v>0.35570588235294115</v>
      </c>
      <c r="K215" s="6">
        <v>0.92476470588235282</v>
      </c>
      <c r="L215" s="6">
        <v>0</v>
      </c>
      <c r="M215" s="6">
        <v>0.23355882352941174</v>
      </c>
      <c r="N215" s="6">
        <v>26.05929411764706</v>
      </c>
      <c r="O215" s="6">
        <v>0</v>
      </c>
      <c r="P215" s="6">
        <v>0</v>
      </c>
      <c r="Q215" s="6">
        <v>1.7249999999999999</v>
      </c>
      <c r="R215" s="6">
        <v>0.27523529411764702</v>
      </c>
      <c r="S215" s="15">
        <v>19.542000000000002</v>
      </c>
      <c r="T215" s="15">
        <v>0</v>
      </c>
      <c r="U215" s="15">
        <v>0</v>
      </c>
      <c r="V215" s="6">
        <v>12.426176470588233</v>
      </c>
      <c r="W215" s="6">
        <v>1.9546764705882351</v>
      </c>
      <c r="X215" s="6">
        <v>12.407058823529411</v>
      </c>
      <c r="Y215" s="6">
        <v>0.12835294117647059</v>
      </c>
      <c r="Z215" s="6">
        <v>0.30785294117647055</v>
      </c>
      <c r="AA215" s="6">
        <v>0.36573529411764705</v>
      </c>
      <c r="AB215" s="6">
        <v>0.40914705882352942</v>
      </c>
      <c r="AC215" s="6">
        <v>6.0414117647058818</v>
      </c>
      <c r="AD215" s="6">
        <v>4.9117647058823523E-2</v>
      </c>
      <c r="AE215" s="6">
        <v>0.26408823529411762</v>
      </c>
      <c r="AF215" s="6">
        <v>0.13049999999999998</v>
      </c>
      <c r="AG215" s="6">
        <v>0.10164705882352941</v>
      </c>
      <c r="AH215" s="6">
        <v>0.89585294117647063</v>
      </c>
      <c r="AI215" s="6">
        <v>0.2176176470588235</v>
      </c>
      <c r="AJ215" s="6">
        <v>1.4821176470588235</v>
      </c>
    </row>
    <row r="216" spans="1:36" x14ac:dyDescent="0.25">
      <c r="A216" s="7" t="s">
        <v>271</v>
      </c>
      <c r="B216" s="27" t="s">
        <v>602</v>
      </c>
      <c r="C216" s="7" t="s">
        <v>261</v>
      </c>
      <c r="D216" s="7" t="s">
        <v>272</v>
      </c>
      <c r="E216" s="7">
        <v>1</v>
      </c>
      <c r="F216" s="7" t="s">
        <v>13</v>
      </c>
      <c r="G216" s="8" t="s">
        <v>1012</v>
      </c>
      <c r="H216" s="5">
        <f t="shared" si="3"/>
        <v>68.083352941176472</v>
      </c>
      <c r="I216" s="6">
        <v>5.7794117647058822E-2</v>
      </c>
      <c r="J216" s="6">
        <v>0.37438235294117639</v>
      </c>
      <c r="K216" s="6">
        <v>1.3223823529411765</v>
      </c>
      <c r="L216" s="6">
        <v>0</v>
      </c>
      <c r="M216" s="6">
        <v>0.20649999999999996</v>
      </c>
      <c r="N216" s="6">
        <v>17.435147058823528</v>
      </c>
      <c r="O216" s="6">
        <v>0</v>
      </c>
      <c r="P216" s="6">
        <v>0</v>
      </c>
      <c r="Q216" s="6">
        <v>3.4053823529411757</v>
      </c>
      <c r="R216" s="6">
        <v>0.19617647058823526</v>
      </c>
      <c r="S216" s="15">
        <v>7.742</v>
      </c>
      <c r="T216" s="15">
        <v>0</v>
      </c>
      <c r="U216" s="15">
        <v>0</v>
      </c>
      <c r="V216" s="6">
        <v>15.101205882352939</v>
      </c>
      <c r="W216" s="6">
        <v>2.0896176470588235</v>
      </c>
      <c r="X216" s="6">
        <v>10.955088235294117</v>
      </c>
      <c r="Y216" s="6">
        <v>0.10158823529411765</v>
      </c>
      <c r="Z216" s="6">
        <v>0.43435294117647055</v>
      </c>
      <c r="AA216" s="6">
        <v>0.21111764705882349</v>
      </c>
      <c r="AB216" s="6">
        <v>0.28976470588235292</v>
      </c>
      <c r="AC216" s="6">
        <v>5.4384705882352939</v>
      </c>
      <c r="AD216" s="6">
        <v>5.6147058823529404E-2</v>
      </c>
      <c r="AE216" s="6">
        <v>0.22905882352941176</v>
      </c>
      <c r="AF216" s="6">
        <v>0.1159705882352941</v>
      </c>
      <c r="AG216" s="6">
        <v>8.0499999999999988E-2</v>
      </c>
      <c r="AH216" s="6">
        <v>0.82235294117647062</v>
      </c>
      <c r="AI216" s="6">
        <v>0.18979411764705881</v>
      </c>
      <c r="AJ216" s="6">
        <v>1.2285588235294118</v>
      </c>
    </row>
    <row r="217" spans="1:36" x14ac:dyDescent="0.25">
      <c r="A217" s="8" t="s">
        <v>273</v>
      </c>
      <c r="B217" s="27" t="s">
        <v>603</v>
      </c>
      <c r="C217" s="8" t="s">
        <v>261</v>
      </c>
      <c r="D217" s="8" t="s">
        <v>274</v>
      </c>
      <c r="E217" s="8">
        <v>2</v>
      </c>
      <c r="F217" s="7" t="s">
        <v>13</v>
      </c>
      <c r="G217" s="8" t="s">
        <v>1012</v>
      </c>
      <c r="H217" s="5">
        <f t="shared" si="3"/>
        <v>65.233705882352922</v>
      </c>
      <c r="I217" s="6">
        <v>7.3647058823529399E-2</v>
      </c>
      <c r="J217" s="6">
        <v>0.35655882352941176</v>
      </c>
      <c r="K217" s="6">
        <v>1.2049117647058822</v>
      </c>
      <c r="L217" s="6">
        <v>0</v>
      </c>
      <c r="M217" s="6">
        <v>0.30555882352941172</v>
      </c>
      <c r="N217" s="6">
        <v>17.51964705882353</v>
      </c>
      <c r="O217" s="6">
        <v>1.8999999999999996E-2</v>
      </c>
      <c r="P217" s="6">
        <v>2.7029411764705882E-2</v>
      </c>
      <c r="Q217" s="6">
        <v>2.7303235294117645</v>
      </c>
      <c r="R217" s="6">
        <v>0.248</v>
      </c>
      <c r="S217" s="16">
        <v>8.4185588235294109</v>
      </c>
      <c r="T217" s="16">
        <v>0</v>
      </c>
      <c r="U217" s="16">
        <v>0</v>
      </c>
      <c r="V217" s="6">
        <v>12.484441176470588</v>
      </c>
      <c r="W217" s="6">
        <v>2.0897647058823527</v>
      </c>
      <c r="X217" s="6">
        <v>10.145176470588234</v>
      </c>
      <c r="Y217" s="6">
        <v>9.873529411764706E-2</v>
      </c>
      <c r="Z217" s="6">
        <v>0.39464705882352935</v>
      </c>
      <c r="AA217" s="6">
        <v>0.22341176470588234</v>
      </c>
      <c r="AB217" s="6">
        <v>0.25667647058823528</v>
      </c>
      <c r="AC217" s="6">
        <v>5.8597647058823528</v>
      </c>
      <c r="AD217" s="6">
        <v>5.6000000000000001E-2</v>
      </c>
      <c r="AE217" s="6">
        <v>0.22370588235294117</v>
      </c>
      <c r="AF217" s="6">
        <v>0.10152941176470588</v>
      </c>
      <c r="AG217" s="6">
        <v>7.5029411764705886E-2</v>
      </c>
      <c r="AH217" s="6">
        <v>0.88526470588235284</v>
      </c>
      <c r="AI217" s="6">
        <v>0.22932352941176468</v>
      </c>
      <c r="AJ217" s="6">
        <v>1.2070000000000001</v>
      </c>
    </row>
    <row r="218" spans="1:36" x14ac:dyDescent="0.25">
      <c r="A218" s="8" t="s">
        <v>275</v>
      </c>
      <c r="B218" s="27" t="s">
        <v>604</v>
      </c>
      <c r="C218" s="8" t="s">
        <v>261</v>
      </c>
      <c r="D218" s="8" t="s">
        <v>276</v>
      </c>
      <c r="E218" s="8">
        <v>2</v>
      </c>
      <c r="F218" s="7" t="s">
        <v>13</v>
      </c>
      <c r="G218" s="8" t="s">
        <v>1012</v>
      </c>
      <c r="H218" s="5">
        <f t="shared" si="3"/>
        <v>133.05461764705879</v>
      </c>
      <c r="I218" s="6">
        <v>0.10867647058823528</v>
      </c>
      <c r="J218" s="6">
        <v>0.5378235294117647</v>
      </c>
      <c r="K218" s="6">
        <v>2.5134705882352941</v>
      </c>
      <c r="L218" s="6">
        <v>0</v>
      </c>
      <c r="M218" s="6">
        <v>0.52576470588235291</v>
      </c>
      <c r="N218" s="6">
        <v>33.219264705882345</v>
      </c>
      <c r="O218" s="6">
        <v>4.2147058823529412E-2</v>
      </c>
      <c r="P218" s="6">
        <v>0.12311764705882353</v>
      </c>
      <c r="Q218" s="6">
        <v>7.8780588235294111</v>
      </c>
      <c r="R218" s="6">
        <v>0.39558823529411763</v>
      </c>
      <c r="S218" s="16">
        <v>8.2289999999999992</v>
      </c>
      <c r="T218" s="16">
        <v>0</v>
      </c>
      <c r="U218" s="16">
        <v>0</v>
      </c>
      <c r="V218" s="6">
        <v>30.356205882352935</v>
      </c>
      <c r="W218" s="6">
        <v>4.3825882352941177</v>
      </c>
      <c r="X218" s="6">
        <v>34.04738235294117</v>
      </c>
      <c r="Y218" s="6">
        <v>0.16252941176470587</v>
      </c>
      <c r="Z218" s="6">
        <v>2.0517941176470584</v>
      </c>
      <c r="AA218" s="6">
        <v>0.23908823529411763</v>
      </c>
      <c r="AB218" s="6">
        <v>0.69426470588235289</v>
      </c>
      <c r="AC218" s="6">
        <v>5.0804117647058824</v>
      </c>
      <c r="AD218" s="6">
        <v>8.0647058823529405E-2</v>
      </c>
      <c r="AE218" s="6">
        <v>0.18505882352941175</v>
      </c>
      <c r="AF218" s="6">
        <v>0.10961764705882351</v>
      </c>
      <c r="AG218" s="6">
        <v>8.0558823529411766E-2</v>
      </c>
      <c r="AH218" s="6">
        <v>0.8000588235294116</v>
      </c>
      <c r="AI218" s="6">
        <v>0.19279411764705881</v>
      </c>
      <c r="AJ218" s="6">
        <v>1.0187058823529411</v>
      </c>
    </row>
    <row r="219" spans="1:36" x14ac:dyDescent="0.25">
      <c r="A219" s="7" t="s">
        <v>277</v>
      </c>
      <c r="B219" s="27" t="s">
        <v>605</v>
      </c>
      <c r="C219" s="7" t="s">
        <v>261</v>
      </c>
      <c r="D219" s="7" t="s">
        <v>278</v>
      </c>
      <c r="E219" s="7">
        <v>2</v>
      </c>
      <c r="F219" s="7" t="s">
        <v>13</v>
      </c>
      <c r="G219" s="8" t="s">
        <v>1012</v>
      </c>
      <c r="H219" s="5">
        <f t="shared" si="3"/>
        <v>62.964764705882352</v>
      </c>
      <c r="I219" s="6">
        <v>4.3029411764705879E-2</v>
      </c>
      <c r="J219" s="6">
        <v>0.34182352941176469</v>
      </c>
      <c r="K219" s="6">
        <v>0.79502941176470576</v>
      </c>
      <c r="L219" s="6">
        <v>0</v>
      </c>
      <c r="M219" s="6">
        <v>0.24914705882352936</v>
      </c>
      <c r="N219" s="6">
        <v>14.275294117647059</v>
      </c>
      <c r="O219" s="6">
        <v>0</v>
      </c>
      <c r="P219" s="6">
        <v>0</v>
      </c>
      <c r="Q219" s="6">
        <v>1.7234411764705881</v>
      </c>
      <c r="R219" s="6">
        <v>0.23873529411764705</v>
      </c>
      <c r="S219" s="15">
        <v>7.76</v>
      </c>
      <c r="T219" s="15">
        <v>0</v>
      </c>
      <c r="U219" s="15">
        <v>0</v>
      </c>
      <c r="V219" s="6">
        <v>12.847676470588235</v>
      </c>
      <c r="W219" s="6">
        <v>2.0272058823529413</v>
      </c>
      <c r="X219" s="6">
        <v>13.473411764705881</v>
      </c>
      <c r="Y219" s="6">
        <v>0.11985294117647058</v>
      </c>
      <c r="Z219" s="6">
        <v>0.32041176470588234</v>
      </c>
      <c r="AA219" s="6">
        <v>0.22552941176470587</v>
      </c>
      <c r="AB219" s="6">
        <v>0.43126470588235294</v>
      </c>
      <c r="AC219" s="6">
        <v>5.3576764705882347</v>
      </c>
      <c r="AD219" s="6">
        <v>5.6352941176470585E-2</v>
      </c>
      <c r="AE219" s="6">
        <v>0.2216176470588235</v>
      </c>
      <c r="AF219" s="6">
        <v>0.12294117647058822</v>
      </c>
      <c r="AG219" s="6">
        <v>8.5941176470588229E-2</v>
      </c>
      <c r="AH219" s="6">
        <v>0.79564705882352926</v>
      </c>
      <c r="AI219" s="6">
        <v>0.1837941176470588</v>
      </c>
      <c r="AJ219" s="6">
        <v>1.268941176470588</v>
      </c>
    </row>
    <row r="220" spans="1:36" x14ac:dyDescent="0.25">
      <c r="A220" s="7" t="s">
        <v>279</v>
      </c>
      <c r="B220" s="27" t="s">
        <v>606</v>
      </c>
      <c r="C220" s="7" t="s">
        <v>261</v>
      </c>
      <c r="D220" s="7" t="s">
        <v>280</v>
      </c>
      <c r="E220" s="7">
        <v>2</v>
      </c>
      <c r="F220" s="7" t="s">
        <v>13</v>
      </c>
      <c r="G220" s="8" t="s">
        <v>1012</v>
      </c>
      <c r="H220" s="5">
        <f t="shared" si="3"/>
        <v>141.10008823529412</v>
      </c>
      <c r="I220" s="6">
        <v>7.6529411764705887E-2</v>
      </c>
      <c r="J220" s="6">
        <v>0.43817647058823528</v>
      </c>
      <c r="K220" s="6">
        <v>2.420529411764706</v>
      </c>
      <c r="L220" s="6">
        <v>0</v>
      </c>
      <c r="M220" s="6">
        <v>0.44385294117647051</v>
      </c>
      <c r="N220" s="6">
        <v>35.200147058823525</v>
      </c>
      <c r="O220" s="6">
        <v>0</v>
      </c>
      <c r="P220" s="6">
        <v>2.8000000000000001E-2</v>
      </c>
      <c r="Q220" s="6">
        <v>6.8561764705882355</v>
      </c>
      <c r="R220" s="6">
        <v>0.40064705882352941</v>
      </c>
      <c r="S220" s="15">
        <v>10.77</v>
      </c>
      <c r="T220" s="15">
        <v>0</v>
      </c>
      <c r="U220" s="15">
        <v>0</v>
      </c>
      <c r="V220" s="6">
        <v>37.101588235294116</v>
      </c>
      <c r="W220" s="6">
        <v>3.654264705882353</v>
      </c>
      <c r="X220" s="6">
        <v>30.950235294117647</v>
      </c>
      <c r="Y220" s="6">
        <v>0.16111764705882353</v>
      </c>
      <c r="Z220" s="6">
        <v>1.1906470588235294</v>
      </c>
      <c r="AA220" s="6">
        <v>0.2804117647058823</v>
      </c>
      <c r="AB220" s="6">
        <v>0.59449999999999992</v>
      </c>
      <c r="AC220" s="6">
        <v>7.0247941176470583</v>
      </c>
      <c r="AD220" s="6">
        <v>6.6147058823529406E-2</v>
      </c>
      <c r="AE220" s="6">
        <v>0.25255882352941172</v>
      </c>
      <c r="AF220" s="6">
        <v>0.14835294117647058</v>
      </c>
      <c r="AG220" s="6">
        <v>0.12529411764705881</v>
      </c>
      <c r="AH220" s="6">
        <v>1.0072058823529411</v>
      </c>
      <c r="AI220" s="6">
        <v>0.24894117647058825</v>
      </c>
      <c r="AJ220" s="6">
        <v>1.6599705882352938</v>
      </c>
    </row>
    <row r="221" spans="1:36" x14ac:dyDescent="0.25">
      <c r="A221" s="7" t="s">
        <v>281</v>
      </c>
      <c r="B221" s="27" t="s">
        <v>607</v>
      </c>
      <c r="C221" s="7" t="s">
        <v>261</v>
      </c>
      <c r="D221" s="7" t="s">
        <v>282</v>
      </c>
      <c r="E221" s="7">
        <v>2</v>
      </c>
      <c r="F221" s="7" t="s">
        <v>13</v>
      </c>
      <c r="G221" s="8" t="s">
        <v>1012</v>
      </c>
      <c r="H221" s="5">
        <f t="shared" si="3"/>
        <v>105.17838235294118</v>
      </c>
      <c r="I221" s="6">
        <v>6.7970588235294102E-2</v>
      </c>
      <c r="J221" s="6">
        <v>0.42485294117647054</v>
      </c>
      <c r="K221" s="6">
        <v>1.794970588235294</v>
      </c>
      <c r="L221" s="6">
        <v>0</v>
      </c>
      <c r="M221" s="6">
        <v>0.3282647058823529</v>
      </c>
      <c r="N221" s="6">
        <v>26.598882352941175</v>
      </c>
      <c r="O221" s="6">
        <v>0</v>
      </c>
      <c r="P221" s="6">
        <v>1.4117647058823526E-2</v>
      </c>
      <c r="Q221" s="6">
        <v>4.3572941176470579</v>
      </c>
      <c r="R221" s="6">
        <v>0.31182352941176467</v>
      </c>
      <c r="S221" s="15">
        <v>9.8580000000000005</v>
      </c>
      <c r="T221" s="15">
        <v>0</v>
      </c>
      <c r="U221" s="15">
        <v>0</v>
      </c>
      <c r="V221" s="6">
        <v>26.472588235294111</v>
      </c>
      <c r="W221" s="6">
        <v>2.700176470588235</v>
      </c>
      <c r="X221" s="6">
        <v>20.877088235294117</v>
      </c>
      <c r="Y221" s="6">
        <v>0.12367647058823528</v>
      </c>
      <c r="Z221" s="6">
        <v>0.83105882352941163</v>
      </c>
      <c r="AA221" s="6">
        <v>0.27638235294117647</v>
      </c>
      <c r="AB221" s="6">
        <v>0.53017647058823525</v>
      </c>
      <c r="AC221" s="6">
        <v>6.3786764705882355</v>
      </c>
      <c r="AD221" s="6">
        <v>5.1705882352941171E-2</v>
      </c>
      <c r="AE221" s="6">
        <v>0.2964705882352941</v>
      </c>
      <c r="AF221" s="6">
        <v>0.12397058823529411</v>
      </c>
      <c r="AG221" s="6">
        <v>0.10055882352941176</v>
      </c>
      <c r="AH221" s="6">
        <v>0.9371176470588235</v>
      </c>
      <c r="AI221" s="6">
        <v>0.21844117647058822</v>
      </c>
      <c r="AJ221" s="6">
        <v>1.5041176470588233</v>
      </c>
    </row>
    <row r="222" spans="1:36" x14ac:dyDescent="0.25">
      <c r="A222" s="8" t="s">
        <v>283</v>
      </c>
      <c r="B222" s="27" t="s">
        <v>608</v>
      </c>
      <c r="C222" s="8" t="s">
        <v>261</v>
      </c>
      <c r="D222" s="8" t="s">
        <v>284</v>
      </c>
      <c r="E222" s="8">
        <v>6</v>
      </c>
      <c r="F222" s="7" t="s">
        <v>13</v>
      </c>
      <c r="G222" s="8" t="s">
        <v>1012</v>
      </c>
      <c r="H222" s="5">
        <f t="shared" si="3"/>
        <v>147.80120588235292</v>
      </c>
      <c r="I222" s="6">
        <v>8.9176470588235288E-2</v>
      </c>
      <c r="J222" s="6">
        <v>0.39444117647058824</v>
      </c>
      <c r="K222" s="6">
        <v>2.1197352941176466</v>
      </c>
      <c r="L222" s="6">
        <v>0</v>
      </c>
      <c r="M222" s="6">
        <v>0.41576470588235293</v>
      </c>
      <c r="N222" s="6">
        <v>37.775176470588235</v>
      </c>
      <c r="O222" s="6">
        <v>2.7882352941176469E-2</v>
      </c>
      <c r="P222" s="6">
        <v>3.9617647058823521E-2</v>
      </c>
      <c r="Q222" s="6">
        <v>7.1901470588235297</v>
      </c>
      <c r="R222" s="6">
        <v>0.39514705882352935</v>
      </c>
      <c r="S222" s="16">
        <v>9.8711176470588224</v>
      </c>
      <c r="T222" s="16">
        <v>0</v>
      </c>
      <c r="U222" s="16">
        <v>5.6764705882352941E-3</v>
      </c>
      <c r="V222" s="6">
        <v>33.925970588235288</v>
      </c>
      <c r="W222" s="6">
        <v>3.8416764705882351</v>
      </c>
      <c r="X222" s="6">
        <v>39.187764705882351</v>
      </c>
      <c r="Y222" s="6">
        <v>0.14758823529411763</v>
      </c>
      <c r="Z222" s="6">
        <v>1.9861176470588233</v>
      </c>
      <c r="AA222" s="6">
        <v>0.27608823529411763</v>
      </c>
      <c r="AB222" s="6">
        <v>1.0142647058823528</v>
      </c>
      <c r="AC222" s="6">
        <v>6.3375882352941177</v>
      </c>
      <c r="AD222" s="6">
        <v>5.5147058823529403E-2</v>
      </c>
      <c r="AE222" s="6">
        <v>0.21394117647058822</v>
      </c>
      <c r="AF222" s="6">
        <v>0.13335294117647056</v>
      </c>
      <c r="AG222" s="6">
        <v>0.10788235294117646</v>
      </c>
      <c r="AH222" s="6">
        <v>0.85564705882352943</v>
      </c>
      <c r="AI222" s="6">
        <v>0.19247058823529409</v>
      </c>
      <c r="AJ222" s="6">
        <v>1.2018235294117645</v>
      </c>
    </row>
    <row r="223" spans="1:36" x14ac:dyDescent="0.25">
      <c r="A223" s="8" t="s">
        <v>285</v>
      </c>
      <c r="B223" s="27" t="s">
        <v>609</v>
      </c>
      <c r="C223" s="8" t="s">
        <v>261</v>
      </c>
      <c r="D223" s="8" t="s">
        <v>286</v>
      </c>
      <c r="E223" s="8">
        <v>6</v>
      </c>
      <c r="F223" s="7" t="s">
        <v>13</v>
      </c>
      <c r="G223" s="8" t="s">
        <v>1012</v>
      </c>
      <c r="H223" s="5">
        <f t="shared" si="3"/>
        <v>139.03805882352941</v>
      </c>
      <c r="I223" s="6">
        <v>0.1231470588235294</v>
      </c>
      <c r="J223" s="6">
        <v>0.55032352941176466</v>
      </c>
      <c r="K223" s="6">
        <v>2.8887352941176467</v>
      </c>
      <c r="L223" s="6">
        <v>0</v>
      </c>
      <c r="M223" s="6">
        <v>0.42529411764705882</v>
      </c>
      <c r="N223" s="6">
        <v>38.48935294117647</v>
      </c>
      <c r="O223" s="6">
        <v>7.0058823529411757E-2</v>
      </c>
      <c r="P223" s="6">
        <v>8.6676470588235285E-2</v>
      </c>
      <c r="Q223" s="6">
        <v>6.224823529411764</v>
      </c>
      <c r="R223" s="6">
        <v>0.44717647058823529</v>
      </c>
      <c r="S223" s="16">
        <v>12.849</v>
      </c>
      <c r="T223" s="16">
        <v>1.3058823529411765E-2</v>
      </c>
      <c r="U223" s="16">
        <v>1.8999999999999996E-2</v>
      </c>
      <c r="V223" s="6">
        <v>31.775676470588234</v>
      </c>
      <c r="W223" s="6">
        <v>3.2356764705882353</v>
      </c>
      <c r="X223" s="6">
        <v>29.678441176470585</v>
      </c>
      <c r="Y223" s="6">
        <v>0.11155882352941175</v>
      </c>
      <c r="Z223" s="6">
        <v>1.3845294117647058</v>
      </c>
      <c r="AA223" s="6">
        <v>0.33070588235294113</v>
      </c>
      <c r="AB223" s="6">
        <v>0.753235294117647</v>
      </c>
      <c r="AC223" s="6">
        <v>6.7026176470588235</v>
      </c>
      <c r="AD223" s="6">
        <v>4.9147058823529405E-2</v>
      </c>
      <c r="AE223" s="6">
        <v>0.28011764705882353</v>
      </c>
      <c r="AF223" s="6">
        <v>0.12</v>
      </c>
      <c r="AG223" s="6">
        <v>0.10311764705882352</v>
      </c>
      <c r="AH223" s="6">
        <v>0.93861764705882356</v>
      </c>
      <c r="AI223" s="6">
        <v>0.19888235294117645</v>
      </c>
      <c r="AJ223" s="6">
        <v>1.1890882352941174</v>
      </c>
    </row>
    <row r="224" spans="1:36" x14ac:dyDescent="0.25">
      <c r="A224" s="7" t="s">
        <v>287</v>
      </c>
      <c r="B224" s="27" t="s">
        <v>610</v>
      </c>
      <c r="C224" s="7" t="s">
        <v>261</v>
      </c>
      <c r="D224" s="7" t="s">
        <v>288</v>
      </c>
      <c r="E224" s="7">
        <v>6</v>
      </c>
      <c r="F224" s="7" t="s">
        <v>13</v>
      </c>
      <c r="G224" s="8" t="s">
        <v>1012</v>
      </c>
      <c r="H224" s="5">
        <f t="shared" si="3"/>
        <v>130.20973529411762</v>
      </c>
      <c r="I224" s="6">
        <v>7.7147058823529402E-2</v>
      </c>
      <c r="J224" s="6">
        <v>0.44579411764705884</v>
      </c>
      <c r="K224" s="6">
        <v>2.8666176470588232</v>
      </c>
      <c r="L224" s="6">
        <v>0</v>
      </c>
      <c r="M224" s="6">
        <v>0.42267647058823526</v>
      </c>
      <c r="N224" s="6">
        <v>34.22982352941176</v>
      </c>
      <c r="O224" s="6">
        <v>2.0588235294117647E-2</v>
      </c>
      <c r="P224" s="6">
        <v>4.205882352941176E-2</v>
      </c>
      <c r="Q224" s="6">
        <v>8.9138823529411759</v>
      </c>
      <c r="R224" s="6">
        <v>0.32579411764705879</v>
      </c>
      <c r="S224" s="15">
        <v>9.3190000000000008</v>
      </c>
      <c r="T224" s="15">
        <v>0</v>
      </c>
      <c r="U224" s="15">
        <v>0</v>
      </c>
      <c r="V224" s="6">
        <v>34.978823529411763</v>
      </c>
      <c r="W224" s="6">
        <v>3.7487941176470581</v>
      </c>
      <c r="X224" s="6">
        <v>23.779676470588232</v>
      </c>
      <c r="Y224" s="6">
        <v>0.18882352941176467</v>
      </c>
      <c r="Z224" s="6">
        <v>0.9405882352941175</v>
      </c>
      <c r="AA224" s="6">
        <v>0.28002941176470586</v>
      </c>
      <c r="AB224" s="6">
        <v>0.53961764705882342</v>
      </c>
      <c r="AC224" s="6">
        <v>5.951617647058824</v>
      </c>
      <c r="AD224" s="6">
        <v>7.4794117647058816E-2</v>
      </c>
      <c r="AE224" s="6">
        <v>0.23114705882352937</v>
      </c>
      <c r="AF224" s="6">
        <v>0.1153235294117647</v>
      </c>
      <c r="AG224" s="6">
        <v>9.0823529411764706E-2</v>
      </c>
      <c r="AH224" s="6">
        <v>0.98358823529411754</v>
      </c>
      <c r="AI224" s="6">
        <v>0.2369705882352941</v>
      </c>
      <c r="AJ224" s="6">
        <v>1.4057352941176469</v>
      </c>
    </row>
    <row r="225" spans="1:36" x14ac:dyDescent="0.25">
      <c r="A225" s="7" t="s">
        <v>289</v>
      </c>
      <c r="B225" s="27" t="s">
        <v>611</v>
      </c>
      <c r="C225" s="7" t="s">
        <v>261</v>
      </c>
      <c r="D225" s="7" t="s">
        <v>290</v>
      </c>
      <c r="E225" s="7">
        <v>6</v>
      </c>
      <c r="F225" s="7" t="s">
        <v>13</v>
      </c>
      <c r="G225" s="8" t="s">
        <v>1012</v>
      </c>
      <c r="H225" s="5">
        <f t="shared" si="3"/>
        <v>87.951441176470581</v>
      </c>
      <c r="I225" s="6">
        <v>6.6970588235294101E-2</v>
      </c>
      <c r="J225" s="6">
        <v>0.37405882352941172</v>
      </c>
      <c r="K225" s="6">
        <v>1.6502647058823527</v>
      </c>
      <c r="L225" s="6">
        <v>0</v>
      </c>
      <c r="M225" s="6">
        <v>0.36144117647058821</v>
      </c>
      <c r="N225" s="6">
        <v>21.563647058823527</v>
      </c>
      <c r="O225" s="6">
        <v>0</v>
      </c>
      <c r="P225" s="6">
        <v>0</v>
      </c>
      <c r="Q225" s="6">
        <v>4.4499117647058819</v>
      </c>
      <c r="R225" s="6">
        <v>0.28091176470588231</v>
      </c>
      <c r="S225" s="15">
        <v>7.9160000000000004</v>
      </c>
      <c r="T225" s="15">
        <v>0</v>
      </c>
      <c r="U225" s="15">
        <v>0</v>
      </c>
      <c r="V225" s="6">
        <v>21.727294117647055</v>
      </c>
      <c r="W225" s="6">
        <v>2.8523235294117648</v>
      </c>
      <c r="X225" s="6">
        <v>17.091235294117645</v>
      </c>
      <c r="Y225" s="6">
        <v>0.14535294117647057</v>
      </c>
      <c r="Z225" s="6">
        <v>0.61364705882352932</v>
      </c>
      <c r="AA225" s="6">
        <v>0.23102941176470584</v>
      </c>
      <c r="AB225" s="6">
        <v>0.4272058823529411</v>
      </c>
      <c r="AC225" s="6">
        <v>5.3690882352941172</v>
      </c>
      <c r="AD225" s="6">
        <v>6.6382352941176462E-2</v>
      </c>
      <c r="AE225" s="6">
        <v>0.19944117647058821</v>
      </c>
      <c r="AF225" s="6">
        <v>0.10264705882352941</v>
      </c>
      <c r="AG225" s="6">
        <v>8.8235294117647051E-2</v>
      </c>
      <c r="AH225" s="6">
        <v>0.90602941176470575</v>
      </c>
      <c r="AI225" s="6">
        <v>0.21420588235294119</v>
      </c>
      <c r="AJ225" s="6">
        <v>1.2541176470588233</v>
      </c>
    </row>
    <row r="226" spans="1:36" x14ac:dyDescent="0.25">
      <c r="A226" s="7" t="s">
        <v>291</v>
      </c>
      <c r="B226" s="27" t="s">
        <v>612</v>
      </c>
      <c r="C226" s="7" t="s">
        <v>261</v>
      </c>
      <c r="D226" s="7" t="s">
        <v>292</v>
      </c>
      <c r="E226" s="7">
        <v>6</v>
      </c>
      <c r="F226" s="7" t="s">
        <v>13</v>
      </c>
      <c r="G226" s="8" t="s">
        <v>1012</v>
      </c>
      <c r="H226" s="5">
        <f t="shared" si="3"/>
        <v>104.81811764705883</v>
      </c>
      <c r="I226" s="6">
        <v>7.3499999999999996E-2</v>
      </c>
      <c r="J226" s="6">
        <v>0.40288235294117641</v>
      </c>
      <c r="K226" s="6">
        <v>1.9805588235294118</v>
      </c>
      <c r="L226" s="6">
        <v>0</v>
      </c>
      <c r="M226" s="6">
        <v>0.37914705882352939</v>
      </c>
      <c r="N226" s="6">
        <v>29.817058823529411</v>
      </c>
      <c r="O226" s="6">
        <v>0</v>
      </c>
      <c r="P226" s="6">
        <v>2.7058823529411764E-2</v>
      </c>
      <c r="Q226" s="6">
        <v>5.925205882352941</v>
      </c>
      <c r="R226" s="6">
        <v>0.30035294117647054</v>
      </c>
      <c r="S226" s="15">
        <v>14.430999999999999</v>
      </c>
      <c r="T226" s="15">
        <v>0</v>
      </c>
      <c r="U226" s="15">
        <v>0</v>
      </c>
      <c r="V226" s="6">
        <v>21.966058823529412</v>
      </c>
      <c r="W226" s="6">
        <v>3.0770588235294114</v>
      </c>
      <c r="X226" s="6">
        <v>15.543941176470586</v>
      </c>
      <c r="Y226" s="6">
        <v>0.16726470588235293</v>
      </c>
      <c r="Z226" s="6">
        <v>0.65673529411764697</v>
      </c>
      <c r="AA226" s="6">
        <v>0.3202647058823529</v>
      </c>
      <c r="AB226" s="6">
        <v>0.38805882352941173</v>
      </c>
      <c r="AC226" s="6">
        <v>6.3131470588235281</v>
      </c>
      <c r="AD226" s="6">
        <v>8.773529411764705E-2</v>
      </c>
      <c r="AE226" s="6">
        <v>0.24932352941176469</v>
      </c>
      <c r="AF226" s="6">
        <v>0.13749999999999998</v>
      </c>
      <c r="AG226" s="6">
        <v>9.3294117647058805E-2</v>
      </c>
      <c r="AH226" s="6">
        <v>0.92558823529411749</v>
      </c>
      <c r="AI226" s="6">
        <v>0.25070588235294117</v>
      </c>
      <c r="AJ226" s="6">
        <v>1.3046764705882352</v>
      </c>
    </row>
    <row r="227" spans="1:36" x14ac:dyDescent="0.25">
      <c r="A227" s="7" t="s">
        <v>293</v>
      </c>
      <c r="B227" s="27" t="s">
        <v>613</v>
      </c>
      <c r="C227" s="7" t="s">
        <v>261</v>
      </c>
      <c r="D227" s="7" t="s">
        <v>262</v>
      </c>
      <c r="E227" s="7">
        <v>0</v>
      </c>
      <c r="F227" s="7" t="s">
        <v>14</v>
      </c>
      <c r="G227" s="8" t="s">
        <v>1012</v>
      </c>
      <c r="H227" s="5">
        <f t="shared" si="3"/>
        <v>45.347117647058823</v>
      </c>
      <c r="I227" s="6">
        <v>4.6176470588235284E-2</v>
      </c>
      <c r="J227" s="6">
        <v>0.2464117647058823</v>
      </c>
      <c r="K227" s="6">
        <v>0.20361764705882351</v>
      </c>
      <c r="L227" s="6">
        <v>0</v>
      </c>
      <c r="M227" s="6">
        <v>6.2941176470588223E-2</v>
      </c>
      <c r="N227" s="6">
        <v>9.2477941176470573</v>
      </c>
      <c r="O227" s="6">
        <v>0</v>
      </c>
      <c r="P227" s="6">
        <v>0</v>
      </c>
      <c r="Q227" s="6">
        <v>0.25358823529411761</v>
      </c>
      <c r="R227" s="6">
        <v>0.17970588235294116</v>
      </c>
      <c r="S227" s="15">
        <v>10.057</v>
      </c>
      <c r="T227" s="15">
        <v>0</v>
      </c>
      <c r="U227" s="15">
        <v>0</v>
      </c>
      <c r="V227" s="6">
        <v>2.9355588235294117</v>
      </c>
      <c r="W227" s="6">
        <v>0.7413235294117646</v>
      </c>
      <c r="X227" s="6">
        <v>12.3995</v>
      </c>
      <c r="Y227" s="6">
        <v>6.9470588235294103E-2</v>
      </c>
      <c r="Z227" s="6">
        <v>0.14576470588235294</v>
      </c>
      <c r="AA227" s="6">
        <v>0.13973529411764704</v>
      </c>
      <c r="AB227" s="6">
        <v>0.29255882352941176</v>
      </c>
      <c r="AC227" s="6">
        <v>6.0671764705882349</v>
      </c>
      <c r="AD227" s="6">
        <v>3.9705882352941172E-3</v>
      </c>
      <c r="AE227" s="6">
        <v>0.12514705882352939</v>
      </c>
      <c r="AF227" s="6">
        <v>0.12291176470588235</v>
      </c>
      <c r="AG227" s="6">
        <v>5.3852941176470583E-2</v>
      </c>
      <c r="AH227" s="6">
        <v>0.43691176470588228</v>
      </c>
      <c r="AI227" s="6">
        <v>0.10117647058823528</v>
      </c>
      <c r="AJ227" s="6">
        <v>1.4148235294117646</v>
      </c>
    </row>
    <row r="228" spans="1:36" x14ac:dyDescent="0.25">
      <c r="A228" s="8" t="s">
        <v>294</v>
      </c>
      <c r="B228" s="27" t="s">
        <v>614</v>
      </c>
      <c r="C228" s="8" t="s">
        <v>261</v>
      </c>
      <c r="D228" s="8" t="s">
        <v>264</v>
      </c>
      <c r="E228" s="8">
        <v>1</v>
      </c>
      <c r="F228" s="8" t="s">
        <v>14</v>
      </c>
      <c r="G228" s="8" t="s">
        <v>1012</v>
      </c>
      <c r="H228" s="5">
        <f t="shared" si="3"/>
        <v>179.77747058823525</v>
      </c>
      <c r="I228" s="6">
        <v>0.15558823529411764</v>
      </c>
      <c r="J228" s="6">
        <v>0.64770588235294113</v>
      </c>
      <c r="K228" s="6">
        <v>1.1036470588235294</v>
      </c>
      <c r="L228" s="6">
        <v>0</v>
      </c>
      <c r="M228" s="6">
        <v>0.21676470588235291</v>
      </c>
      <c r="N228" s="6">
        <v>39.055499999999995</v>
      </c>
      <c r="O228" s="6">
        <v>1.3057941176470587</v>
      </c>
      <c r="P228" s="6">
        <v>1.7882352941176469</v>
      </c>
      <c r="Q228" s="6">
        <v>3.2462647058823531</v>
      </c>
      <c r="R228" s="6">
        <v>0.44911764705882351</v>
      </c>
      <c r="S228" s="16">
        <v>23.568647058823526</v>
      </c>
      <c r="T228" s="16">
        <v>4.7235294117647056E-2</v>
      </c>
      <c r="U228" s="16">
        <v>4.1882352941176468E-2</v>
      </c>
      <c r="V228" s="6">
        <v>46.28726470588235</v>
      </c>
      <c r="W228" s="6">
        <v>3.4622941176470583</v>
      </c>
      <c r="X228" s="6">
        <v>37.430058823529407</v>
      </c>
      <c r="Y228" s="6">
        <v>0.16058823529411764</v>
      </c>
      <c r="Z228" s="6">
        <v>0.96091176470588224</v>
      </c>
      <c r="AA228" s="6">
        <v>0.40244117647058825</v>
      </c>
      <c r="AB228" s="6">
        <v>0.47058823529411764</v>
      </c>
      <c r="AC228" s="6">
        <v>14.958823529411765</v>
      </c>
      <c r="AD228" s="6">
        <v>1.6588235294117647E-2</v>
      </c>
      <c r="AE228" s="6">
        <v>0.3301470588235294</v>
      </c>
      <c r="AF228" s="6">
        <v>0.21420588235294119</v>
      </c>
      <c r="AG228" s="6">
        <v>7.6823529411764707E-2</v>
      </c>
      <c r="AH228" s="6">
        <v>0.84870588235294109</v>
      </c>
      <c r="AI228" s="6">
        <v>0.24573529411764702</v>
      </c>
      <c r="AJ228" s="6">
        <v>2.2859117647058822</v>
      </c>
    </row>
    <row r="229" spans="1:36" x14ac:dyDescent="0.25">
      <c r="A229" s="8" t="s">
        <v>295</v>
      </c>
      <c r="B229" s="27" t="s">
        <v>615</v>
      </c>
      <c r="C229" s="8" t="s">
        <v>261</v>
      </c>
      <c r="D229" s="8" t="s">
        <v>266</v>
      </c>
      <c r="E229" s="8">
        <v>1</v>
      </c>
      <c r="F229" s="8" t="s">
        <v>14</v>
      </c>
      <c r="G229" s="8" t="s">
        <v>1012</v>
      </c>
      <c r="H229" s="5">
        <f t="shared" si="3"/>
        <v>386.4855</v>
      </c>
      <c r="I229" s="6">
        <v>0.18226470588235291</v>
      </c>
      <c r="J229" s="6">
        <v>0.63017647058823523</v>
      </c>
      <c r="K229" s="6">
        <v>1.4701470588235293</v>
      </c>
      <c r="L229" s="6">
        <v>0</v>
      </c>
      <c r="M229" s="6">
        <v>0.24614705882352939</v>
      </c>
      <c r="N229" s="6">
        <v>60.380382352941176</v>
      </c>
      <c r="O229" s="6">
        <v>5.4410882352941172</v>
      </c>
      <c r="P229" s="6">
        <v>8.3462647058823531</v>
      </c>
      <c r="Q229" s="6">
        <v>4.9489117647058825</v>
      </c>
      <c r="R229" s="6">
        <v>0.50897058823529406</v>
      </c>
      <c r="S229" s="16">
        <v>26.059088235294116</v>
      </c>
      <c r="T229" s="16">
        <v>4.1176470588235285E-4</v>
      </c>
      <c r="U229" s="16">
        <v>0</v>
      </c>
      <c r="V229" s="6">
        <v>205.23867647058822</v>
      </c>
      <c r="W229" s="6">
        <v>8.7396176470588234</v>
      </c>
      <c r="X229" s="6">
        <v>43.341411764705875</v>
      </c>
      <c r="Y229" s="6">
        <v>0.12488235294117646</v>
      </c>
      <c r="Z229" s="6">
        <v>2.3182941176470586</v>
      </c>
      <c r="AA229" s="6">
        <v>1.0418235294117646</v>
      </c>
      <c r="AB229" s="6">
        <v>1.0392058823529411</v>
      </c>
      <c r="AC229" s="6">
        <v>12.021352941176469</v>
      </c>
      <c r="AD229" s="6">
        <v>1.5558823529411766E-2</v>
      </c>
      <c r="AE229" s="6">
        <v>0.4395</v>
      </c>
      <c r="AF229" s="6">
        <v>0.11255882352941175</v>
      </c>
      <c r="AG229" s="6">
        <v>9.0705882352941164E-2</v>
      </c>
      <c r="AH229" s="6">
        <v>1.0273823529411765</v>
      </c>
      <c r="AI229" s="6">
        <v>0.21364705882352938</v>
      </c>
      <c r="AJ229" s="6">
        <v>2.5070294117647056</v>
      </c>
    </row>
    <row r="230" spans="1:36" x14ac:dyDescent="0.25">
      <c r="A230" s="7" t="s">
        <v>296</v>
      </c>
      <c r="B230" s="27" t="s">
        <v>616</v>
      </c>
      <c r="C230" s="7" t="s">
        <v>261</v>
      </c>
      <c r="D230" s="7" t="s">
        <v>268</v>
      </c>
      <c r="E230" s="7">
        <v>1</v>
      </c>
      <c r="F230" s="7" t="s">
        <v>14</v>
      </c>
      <c r="G230" s="8" t="s">
        <v>1012</v>
      </c>
      <c r="H230" s="5">
        <f t="shared" si="3"/>
        <v>53.763852941176481</v>
      </c>
      <c r="I230" s="6">
        <v>7.3470588235294107E-2</v>
      </c>
      <c r="J230" s="6">
        <v>0.25517647058823528</v>
      </c>
      <c r="K230" s="6">
        <v>0.27111764705882352</v>
      </c>
      <c r="L230" s="6">
        <v>0</v>
      </c>
      <c r="M230" s="6">
        <v>6.88235294117647E-2</v>
      </c>
      <c r="N230" s="6">
        <v>11.959941176470586</v>
      </c>
      <c r="O230" s="6">
        <v>0.29252941176470587</v>
      </c>
      <c r="P230" s="6">
        <v>0.3005882352941176</v>
      </c>
      <c r="Q230" s="6">
        <v>0.55308823529411755</v>
      </c>
      <c r="R230" s="6">
        <v>0.17235294117647057</v>
      </c>
      <c r="S230" s="15">
        <v>9.3970000000000002</v>
      </c>
      <c r="T230" s="15">
        <v>0</v>
      </c>
      <c r="U230" s="15">
        <v>0</v>
      </c>
      <c r="V230" s="6">
        <v>8.7954705882352933</v>
      </c>
      <c r="W230" s="6">
        <v>0.91517647058823515</v>
      </c>
      <c r="X230" s="6">
        <v>12.819970588235293</v>
      </c>
      <c r="Y230" s="6">
        <v>7.2529411764705884E-2</v>
      </c>
      <c r="Z230" s="6">
        <v>0.20067647058823526</v>
      </c>
      <c r="AA230" s="6">
        <v>0.12323529411764705</v>
      </c>
      <c r="AB230" s="6">
        <v>9.6735294117647058E-2</v>
      </c>
      <c r="AC230" s="6">
        <v>5.4889411764705871</v>
      </c>
      <c r="AD230" s="6">
        <v>6.5882352941176456E-3</v>
      </c>
      <c r="AE230" s="6">
        <v>0.11385294117647059</v>
      </c>
      <c r="AF230" s="6">
        <v>0.12817647058823528</v>
      </c>
      <c r="AG230" s="6">
        <v>3.6617647058823526E-2</v>
      </c>
      <c r="AH230" s="6">
        <v>0.2771764705882353</v>
      </c>
      <c r="AI230" s="6">
        <v>6.83235294117647E-2</v>
      </c>
      <c r="AJ230" s="6">
        <v>1.2762941176470588</v>
      </c>
    </row>
    <row r="231" spans="1:36" x14ac:dyDescent="0.25">
      <c r="A231" s="7" t="s">
        <v>297</v>
      </c>
      <c r="B231" s="27" t="s">
        <v>617</v>
      </c>
      <c r="C231" s="7" t="s">
        <v>261</v>
      </c>
      <c r="D231" s="7" t="s">
        <v>270</v>
      </c>
      <c r="E231" s="7">
        <v>1</v>
      </c>
      <c r="F231" s="7" t="s">
        <v>14</v>
      </c>
      <c r="G231" s="8" t="s">
        <v>1012</v>
      </c>
      <c r="H231" s="5">
        <f t="shared" si="3"/>
        <v>147.7824117647059</v>
      </c>
      <c r="I231" s="6">
        <v>5.0029411764705878E-2</v>
      </c>
      <c r="J231" s="6">
        <v>0.25064705882352939</v>
      </c>
      <c r="K231" s="6">
        <v>0.30470588235294116</v>
      </c>
      <c r="L231" s="6">
        <v>0</v>
      </c>
      <c r="M231" s="6">
        <v>8.3058823529411768E-2</v>
      </c>
      <c r="N231" s="6">
        <v>22.354088235294117</v>
      </c>
      <c r="O231" s="6">
        <v>2.5690588235294118</v>
      </c>
      <c r="P231" s="6">
        <v>2.8366470588235293</v>
      </c>
      <c r="Q231" s="6">
        <v>1.1434117647058823</v>
      </c>
      <c r="R231" s="6">
        <v>0.20061764705882354</v>
      </c>
      <c r="S231" s="15">
        <v>10.053000000000001</v>
      </c>
      <c r="T231" s="15">
        <v>0</v>
      </c>
      <c r="U231" s="15">
        <v>0</v>
      </c>
      <c r="V231" s="6">
        <v>74.737499999999997</v>
      </c>
      <c r="W231" s="6">
        <v>3.4657647058823531</v>
      </c>
      <c r="X231" s="6">
        <v>20.259617647058821</v>
      </c>
      <c r="Y231" s="6">
        <v>8.4382352941176464E-2</v>
      </c>
      <c r="Z231" s="6">
        <v>1.0856176470588235</v>
      </c>
      <c r="AA231" s="6">
        <v>0.45517647058823529</v>
      </c>
      <c r="AB231" s="6">
        <v>0.54870588235294115</v>
      </c>
      <c r="AC231" s="6">
        <v>5.3759705882352939</v>
      </c>
      <c r="AD231" s="6">
        <v>1.9411764705882352E-3</v>
      </c>
      <c r="AE231" s="6">
        <v>0.1959411764705882</v>
      </c>
      <c r="AF231" s="6">
        <v>9.5470588235294113E-2</v>
      </c>
      <c r="AG231" s="6">
        <v>5.4294117647058819E-2</v>
      </c>
      <c r="AH231" s="6">
        <v>0.31352941176470583</v>
      </c>
      <c r="AI231" s="6">
        <v>0.10249999999999999</v>
      </c>
      <c r="AJ231" s="6">
        <v>1.160735294117647</v>
      </c>
    </row>
    <row r="232" spans="1:36" x14ac:dyDescent="0.25">
      <c r="A232" s="7" t="s">
        <v>298</v>
      </c>
      <c r="B232" s="27" t="s">
        <v>618</v>
      </c>
      <c r="C232" s="7" t="s">
        <v>261</v>
      </c>
      <c r="D232" s="7" t="s">
        <v>272</v>
      </c>
      <c r="E232" s="7">
        <v>1</v>
      </c>
      <c r="F232" s="7" t="s">
        <v>14</v>
      </c>
      <c r="G232" s="8" t="s">
        <v>1012</v>
      </c>
      <c r="H232" s="5">
        <f t="shared" si="3"/>
        <v>162.67241176470588</v>
      </c>
      <c r="I232" s="6">
        <v>7.929411764705882E-2</v>
      </c>
      <c r="J232" s="6">
        <v>0.29564705882352937</v>
      </c>
      <c r="K232" s="6">
        <v>0.25729411764705878</v>
      </c>
      <c r="L232" s="6">
        <v>0</v>
      </c>
      <c r="M232" s="6">
        <v>8.585294117647059E-2</v>
      </c>
      <c r="N232" s="6">
        <v>23.65605882352941</v>
      </c>
      <c r="O232" s="6">
        <v>3.4377647058823531</v>
      </c>
      <c r="P232" s="6">
        <v>3.8936764705882347</v>
      </c>
      <c r="Q232" s="6">
        <v>1.2707352941176469</v>
      </c>
      <c r="R232" s="6">
        <v>0.22135294117647056</v>
      </c>
      <c r="S232" s="15">
        <v>11.137</v>
      </c>
      <c r="T232" s="15">
        <v>0</v>
      </c>
      <c r="U232" s="15">
        <v>0</v>
      </c>
      <c r="V232" s="6">
        <v>89.193852941176459</v>
      </c>
      <c r="W232" s="6">
        <v>4.0787352941176467</v>
      </c>
      <c r="X232" s="6">
        <v>16.184735294117647</v>
      </c>
      <c r="Y232" s="6">
        <v>6.4794117647058821E-2</v>
      </c>
      <c r="Z232" s="6">
        <v>0.8242647058823529</v>
      </c>
      <c r="AA232" s="6">
        <v>0.52820588235294108</v>
      </c>
      <c r="AB232" s="6">
        <v>0.43182352941176466</v>
      </c>
      <c r="AC232" s="6">
        <v>5.1063529411764703</v>
      </c>
      <c r="AD232" s="6">
        <v>0</v>
      </c>
      <c r="AE232" s="6">
        <v>0.21973529411764703</v>
      </c>
      <c r="AF232" s="6">
        <v>7.7529411764705874E-2</v>
      </c>
      <c r="AG232" s="6">
        <v>4.5617647058823527E-2</v>
      </c>
      <c r="AH232" s="6">
        <v>0.39844117647058824</v>
      </c>
      <c r="AI232" s="6">
        <v>8.5647058823529409E-2</v>
      </c>
      <c r="AJ232" s="6">
        <v>1.0979999999999999</v>
      </c>
    </row>
    <row r="233" spans="1:36" x14ac:dyDescent="0.25">
      <c r="A233" s="8" t="s">
        <v>299</v>
      </c>
      <c r="B233" s="27" t="s">
        <v>619</v>
      </c>
      <c r="C233" s="8" t="s">
        <v>261</v>
      </c>
      <c r="D233" s="8" t="s">
        <v>274</v>
      </c>
      <c r="E233" s="8">
        <v>2</v>
      </c>
      <c r="F233" s="7" t="s">
        <v>14</v>
      </c>
      <c r="G233" s="8" t="s">
        <v>1012</v>
      </c>
      <c r="H233" s="5">
        <f t="shared" si="3"/>
        <v>248.53538235294116</v>
      </c>
      <c r="I233" s="6">
        <v>0.15411764705882353</v>
      </c>
      <c r="J233" s="6">
        <v>0.6369999999999999</v>
      </c>
      <c r="K233" s="6">
        <v>0.99644117647058805</v>
      </c>
      <c r="L233" s="6">
        <v>0</v>
      </c>
      <c r="M233" s="6">
        <v>0.27508823529411763</v>
      </c>
      <c r="N233" s="6">
        <v>44.685529411764705</v>
      </c>
      <c r="O233" s="6">
        <v>2.3716176470588235</v>
      </c>
      <c r="P233" s="6">
        <v>3.8224411764705879</v>
      </c>
      <c r="Q233" s="6">
        <v>2.0598235294117644</v>
      </c>
      <c r="R233" s="6">
        <v>0.60691176470588237</v>
      </c>
      <c r="S233" s="16">
        <v>31.079352941176467</v>
      </c>
      <c r="T233" s="16">
        <v>5.6529411764705884E-2</v>
      </c>
      <c r="U233" s="16">
        <v>6.7000000000000004E-2</v>
      </c>
      <c r="V233" s="6">
        <v>88.738411764705873</v>
      </c>
      <c r="W233" s="6">
        <v>4.6577352941176473</v>
      </c>
      <c r="X233" s="6">
        <v>42.663029411764704</v>
      </c>
      <c r="Y233" s="6">
        <v>0.13902941176470587</v>
      </c>
      <c r="Z233" s="6">
        <v>1.2711176470588235</v>
      </c>
      <c r="AA233" s="6">
        <v>0.6833529411764705</v>
      </c>
      <c r="AB233" s="6">
        <v>0.6482941176470588</v>
      </c>
      <c r="AC233" s="6">
        <v>17.735941176470586</v>
      </c>
      <c r="AD233" s="6">
        <v>2.9470588235294113E-2</v>
      </c>
      <c r="AE233" s="6">
        <v>0.44485294117647056</v>
      </c>
      <c r="AF233" s="6">
        <v>0.17217647058823529</v>
      </c>
      <c r="AG233" s="6">
        <v>8.461764705882352E-2</v>
      </c>
      <c r="AH233" s="6">
        <v>1.0614411764705882</v>
      </c>
      <c r="AI233" s="6">
        <v>0.23947058823529413</v>
      </c>
      <c r="AJ233" s="6">
        <v>3.1545882352941175</v>
      </c>
    </row>
    <row r="234" spans="1:36" x14ac:dyDescent="0.25">
      <c r="A234" s="8" t="s">
        <v>300</v>
      </c>
      <c r="B234" s="27" t="s">
        <v>620</v>
      </c>
      <c r="C234" s="8" t="s">
        <v>261</v>
      </c>
      <c r="D234" s="8" t="s">
        <v>276</v>
      </c>
      <c r="E234" s="8">
        <v>2</v>
      </c>
      <c r="F234" s="7" t="s">
        <v>14</v>
      </c>
      <c r="G234" s="8" t="s">
        <v>1012</v>
      </c>
      <c r="H234" s="5">
        <f t="shared" si="3"/>
        <v>271.23902941176453</v>
      </c>
      <c r="I234" s="6">
        <v>0.16449999999999998</v>
      </c>
      <c r="J234" s="6">
        <v>0.69091176470588234</v>
      </c>
      <c r="K234" s="6">
        <v>1.5285588235294116</v>
      </c>
      <c r="L234" s="6">
        <v>0</v>
      </c>
      <c r="M234" s="6">
        <v>0.2884411764705882</v>
      </c>
      <c r="N234" s="6">
        <v>51.605911764705873</v>
      </c>
      <c r="O234" s="6">
        <v>2.9155294117647057</v>
      </c>
      <c r="P234" s="6">
        <v>3.5939705882352939</v>
      </c>
      <c r="Q234" s="6">
        <v>4.7006470588235292</v>
      </c>
      <c r="R234" s="6">
        <v>0.55897058823529411</v>
      </c>
      <c r="S234" s="16">
        <v>27.572647058823531</v>
      </c>
      <c r="T234" s="16">
        <v>4.1176470588235294E-2</v>
      </c>
      <c r="U234" s="16">
        <v>4.6794117647058819E-2</v>
      </c>
      <c r="V234" s="6">
        <v>102.28805882352941</v>
      </c>
      <c r="W234" s="6">
        <v>6.3742352941176463</v>
      </c>
      <c r="X234" s="6">
        <v>39.218499999999992</v>
      </c>
      <c r="Y234" s="6">
        <v>0.14823529411764705</v>
      </c>
      <c r="Z234" s="6">
        <v>1.3895588235294116</v>
      </c>
      <c r="AA234" s="6">
        <v>0.75970588235294101</v>
      </c>
      <c r="AB234" s="6">
        <v>0.92176470588235293</v>
      </c>
      <c r="AC234" s="6">
        <v>21.542970588235292</v>
      </c>
      <c r="AD234" s="6">
        <v>2.1911764705882353E-2</v>
      </c>
      <c r="AE234" s="6">
        <v>0.44305882352941173</v>
      </c>
      <c r="AF234" s="6">
        <v>0.24282352941176466</v>
      </c>
      <c r="AG234" s="6">
        <v>0.10805882352941176</v>
      </c>
      <c r="AH234" s="6">
        <v>1.0995882352941175</v>
      </c>
      <c r="AI234" s="6">
        <v>0.39250000000000002</v>
      </c>
      <c r="AJ234" s="6">
        <v>2.5799999999999996</v>
      </c>
    </row>
    <row r="235" spans="1:36" x14ac:dyDescent="0.25">
      <c r="A235" s="7" t="s">
        <v>301</v>
      </c>
      <c r="B235" s="27" t="s">
        <v>621</v>
      </c>
      <c r="C235" s="7" t="s">
        <v>261</v>
      </c>
      <c r="D235" s="7" t="s">
        <v>278</v>
      </c>
      <c r="E235" s="7">
        <v>2</v>
      </c>
      <c r="F235" s="7" t="s">
        <v>14</v>
      </c>
      <c r="G235" s="8" t="s">
        <v>1012</v>
      </c>
      <c r="H235" s="5">
        <f t="shared" si="3"/>
        <v>58.280558823529397</v>
      </c>
      <c r="I235" s="6">
        <v>5.070588235294117E-2</v>
      </c>
      <c r="J235" s="6">
        <v>0.26802941176470585</v>
      </c>
      <c r="K235" s="6">
        <v>0.21473529411764705</v>
      </c>
      <c r="L235" s="6">
        <v>0</v>
      </c>
      <c r="M235" s="6">
        <v>8.8147058823529412E-2</v>
      </c>
      <c r="N235" s="6">
        <v>12.00955882352941</v>
      </c>
      <c r="O235" s="6">
        <v>5.6794117647058821E-2</v>
      </c>
      <c r="P235" s="6">
        <v>4.8000000000000001E-2</v>
      </c>
      <c r="Q235" s="6">
        <v>0.15523529411764705</v>
      </c>
      <c r="R235" s="6">
        <v>0.2359705882352941</v>
      </c>
      <c r="S235" s="15">
        <v>10.254</v>
      </c>
      <c r="T235" s="15">
        <v>0</v>
      </c>
      <c r="U235" s="15">
        <v>0</v>
      </c>
      <c r="V235" s="6">
        <v>5.6079117647058823</v>
      </c>
      <c r="W235" s="6">
        <v>0.76091176470588229</v>
      </c>
      <c r="X235" s="6">
        <v>20.878647058823528</v>
      </c>
      <c r="Y235" s="6">
        <v>5.9264705882352942E-2</v>
      </c>
      <c r="Z235" s="6">
        <v>0.75644117647058806</v>
      </c>
      <c r="AA235" s="6">
        <v>0.15299999999999997</v>
      </c>
      <c r="AB235" s="6">
        <v>0.1552941176470588</v>
      </c>
      <c r="AC235" s="6">
        <v>4.6605882352941173</v>
      </c>
      <c r="AD235" s="6">
        <v>0</v>
      </c>
      <c r="AE235" s="6">
        <v>0.13579411764705882</v>
      </c>
      <c r="AF235" s="6">
        <v>5.223529411764706E-2</v>
      </c>
      <c r="AG235" s="6">
        <v>4.3558823529411761E-2</v>
      </c>
      <c r="AH235" s="6">
        <v>0.28655882352941175</v>
      </c>
      <c r="AI235" s="6">
        <v>6.8058823529411755E-2</v>
      </c>
      <c r="AJ235" s="6">
        <v>1.2811176470588235</v>
      </c>
    </row>
    <row r="236" spans="1:36" x14ac:dyDescent="0.25">
      <c r="A236" s="7" t="s">
        <v>302</v>
      </c>
      <c r="B236" s="27" t="s">
        <v>622</v>
      </c>
      <c r="C236" s="7" t="s">
        <v>261</v>
      </c>
      <c r="D236" s="7" t="s">
        <v>280</v>
      </c>
      <c r="E236" s="7">
        <v>2</v>
      </c>
      <c r="F236" s="7" t="s">
        <v>14</v>
      </c>
      <c r="G236" s="8" t="s">
        <v>1012</v>
      </c>
      <c r="H236" s="5">
        <f t="shared" si="3"/>
        <v>159.42108823529409</v>
      </c>
      <c r="I236" s="6">
        <v>5.8823529411764705E-2</v>
      </c>
      <c r="J236" s="6">
        <v>0.28949999999999998</v>
      </c>
      <c r="K236" s="6">
        <v>0.46144117647058819</v>
      </c>
      <c r="L236" s="6">
        <v>0</v>
      </c>
      <c r="M236" s="6">
        <v>0.11205882352941177</v>
      </c>
      <c r="N236" s="6">
        <v>23.520176470588233</v>
      </c>
      <c r="O236" s="6">
        <v>1.7354705882352941</v>
      </c>
      <c r="P236" s="6">
        <v>2.9059411764705882</v>
      </c>
      <c r="Q236" s="6">
        <v>1.5089411764705882</v>
      </c>
      <c r="R236" s="6">
        <v>0.22917647058823529</v>
      </c>
      <c r="S236" s="15">
        <v>12.843999999999999</v>
      </c>
      <c r="T236" s="15">
        <v>0</v>
      </c>
      <c r="U236" s="15">
        <v>2.1999999999999999E-2</v>
      </c>
      <c r="V236" s="6">
        <v>82.40535294117646</v>
      </c>
      <c r="W236" s="6">
        <v>4.0822941176470584</v>
      </c>
      <c r="X236" s="6">
        <v>17.766999999999999</v>
      </c>
      <c r="Y236" s="6">
        <v>8.2617647058823518E-2</v>
      </c>
      <c r="Z236" s="6">
        <v>0.79647058823529404</v>
      </c>
      <c r="AA236" s="6">
        <v>0.55985294117647055</v>
      </c>
      <c r="AB236" s="6">
        <v>0.46744117647058814</v>
      </c>
      <c r="AC236" s="6">
        <v>6.8263529411764701</v>
      </c>
      <c r="AD236" s="6">
        <v>0</v>
      </c>
      <c r="AE236" s="6">
        <v>0.26623529411764707</v>
      </c>
      <c r="AF236" s="6">
        <v>7.2529411764705884E-2</v>
      </c>
      <c r="AG236" s="6">
        <v>5.252941176470588E-2</v>
      </c>
      <c r="AH236" s="6">
        <v>0.55588235294117638</v>
      </c>
      <c r="AI236" s="6">
        <v>0.10676470588235293</v>
      </c>
      <c r="AJ236" s="6">
        <v>1.6922352941176468</v>
      </c>
    </row>
    <row r="237" spans="1:36" x14ac:dyDescent="0.25">
      <c r="A237" s="7" t="s">
        <v>303</v>
      </c>
      <c r="B237" s="27" t="s">
        <v>623</v>
      </c>
      <c r="C237" s="7" t="s">
        <v>261</v>
      </c>
      <c r="D237" s="7" t="s">
        <v>282</v>
      </c>
      <c r="E237" s="7">
        <v>2</v>
      </c>
      <c r="F237" s="7" t="s">
        <v>14</v>
      </c>
      <c r="G237" s="8" t="s">
        <v>1012</v>
      </c>
      <c r="H237" s="5">
        <f t="shared" si="3"/>
        <v>114.32511764705882</v>
      </c>
      <c r="I237" s="6">
        <v>5.0264705882352941E-2</v>
      </c>
      <c r="J237" s="6">
        <v>0.26941176470588235</v>
      </c>
      <c r="K237" s="6">
        <v>0.31914705882352939</v>
      </c>
      <c r="L237" s="6">
        <v>0</v>
      </c>
      <c r="M237" s="6">
        <v>8.4882352941176464E-2</v>
      </c>
      <c r="N237" s="6">
        <v>17.232999999999997</v>
      </c>
      <c r="O237" s="6">
        <v>1.3797058823529411</v>
      </c>
      <c r="P237" s="6">
        <v>1.8768235294117646</v>
      </c>
      <c r="Q237" s="6">
        <v>0.83523529411764708</v>
      </c>
      <c r="R237" s="6">
        <v>0.2076764705882353</v>
      </c>
      <c r="S237" s="15">
        <v>10.837</v>
      </c>
      <c r="T237" s="15">
        <v>0</v>
      </c>
      <c r="U237" s="15">
        <v>0</v>
      </c>
      <c r="V237" s="6">
        <v>54.607205882352936</v>
      </c>
      <c r="W237" s="6">
        <v>2.642911764705882</v>
      </c>
      <c r="X237" s="6">
        <v>14.719941176470588</v>
      </c>
      <c r="Y237" s="6">
        <v>6.5264705882352947E-2</v>
      </c>
      <c r="Z237" s="6">
        <v>0.51847058823529402</v>
      </c>
      <c r="AA237" s="6">
        <v>0.36805882352941172</v>
      </c>
      <c r="AB237" s="6">
        <v>0.30649999999999999</v>
      </c>
      <c r="AC237" s="6">
        <v>5.9123529411764704</v>
      </c>
      <c r="AD237" s="6">
        <v>0</v>
      </c>
      <c r="AE237" s="6">
        <v>0.18052941176470585</v>
      </c>
      <c r="AF237" s="6">
        <v>6.5058823529411766E-2</v>
      </c>
      <c r="AG237" s="6">
        <v>3.7382352941176471E-2</v>
      </c>
      <c r="AH237" s="6">
        <v>0.36908823529411761</v>
      </c>
      <c r="AI237" s="6">
        <v>7.8441176470588223E-2</v>
      </c>
      <c r="AJ237" s="6">
        <v>1.3607647058823529</v>
      </c>
    </row>
    <row r="238" spans="1:36" x14ac:dyDescent="0.25">
      <c r="A238" s="8" t="s">
        <v>304</v>
      </c>
      <c r="B238" s="27" t="s">
        <v>624</v>
      </c>
      <c r="C238" s="8" t="s">
        <v>261</v>
      </c>
      <c r="D238" s="8" t="s">
        <v>284</v>
      </c>
      <c r="E238" s="8">
        <v>6</v>
      </c>
      <c r="F238" s="7" t="s">
        <v>14</v>
      </c>
      <c r="G238" s="8" t="s">
        <v>1012</v>
      </c>
      <c r="H238" s="5">
        <f t="shared" si="3"/>
        <v>176.86817647058825</v>
      </c>
      <c r="I238" s="6">
        <v>0.15541176470588233</v>
      </c>
      <c r="J238" s="6">
        <v>0.68591176470588233</v>
      </c>
      <c r="K238" s="6">
        <v>1.2259117647058824</v>
      </c>
      <c r="L238" s="6">
        <v>0</v>
      </c>
      <c r="M238" s="6">
        <v>0.32191176470588234</v>
      </c>
      <c r="N238" s="6">
        <v>37.790735294117646</v>
      </c>
      <c r="O238" s="6">
        <v>0.97558823529411753</v>
      </c>
      <c r="P238" s="6">
        <v>1.1433235294117647</v>
      </c>
      <c r="Q238" s="6">
        <v>2.7208823529411763</v>
      </c>
      <c r="R238" s="6">
        <v>0.59164705882352941</v>
      </c>
      <c r="S238" s="16">
        <v>26.718235294117644</v>
      </c>
      <c r="T238" s="16">
        <v>0.12997058823529412</v>
      </c>
      <c r="U238" s="16">
        <v>0.15664705882352942</v>
      </c>
      <c r="V238" s="6">
        <v>34.127823529411764</v>
      </c>
      <c r="W238" s="6">
        <v>3.13</v>
      </c>
      <c r="X238" s="6">
        <v>44.781176470588228</v>
      </c>
      <c r="Y238" s="6">
        <v>0.1651470588235294</v>
      </c>
      <c r="Z238" s="6">
        <v>1.2672058823529411</v>
      </c>
      <c r="AA238" s="6">
        <v>0.51785294117647052</v>
      </c>
      <c r="AB238" s="6">
        <v>1.0557647058823529</v>
      </c>
      <c r="AC238" s="6">
        <v>14.549823529411762</v>
      </c>
      <c r="AD238" s="6">
        <v>3.2352941176470585E-4</v>
      </c>
      <c r="AE238" s="6">
        <v>0.36849999999999999</v>
      </c>
      <c r="AF238" s="6">
        <v>0.16552941176470587</v>
      </c>
      <c r="AG238" s="6">
        <v>0.13311764705882353</v>
      </c>
      <c r="AH238" s="6">
        <v>0.98926470588235282</v>
      </c>
      <c r="AI238" s="6">
        <v>0.21232352941176469</v>
      </c>
      <c r="AJ238" s="6">
        <v>2.7881470588235291</v>
      </c>
    </row>
    <row r="239" spans="1:36" x14ac:dyDescent="0.25">
      <c r="A239" s="8" t="s">
        <v>305</v>
      </c>
      <c r="B239" s="27" t="s">
        <v>625</v>
      </c>
      <c r="C239" s="8" t="s">
        <v>261</v>
      </c>
      <c r="D239" s="8" t="s">
        <v>286</v>
      </c>
      <c r="E239" s="8">
        <v>6</v>
      </c>
      <c r="F239" s="7" t="s">
        <v>14</v>
      </c>
      <c r="G239" s="8" t="s">
        <v>1012</v>
      </c>
      <c r="H239" s="5">
        <f t="shared" si="3"/>
        <v>154.88261764705885</v>
      </c>
      <c r="I239" s="6">
        <v>0.1708529411764706</v>
      </c>
      <c r="J239" s="6">
        <v>0.86847058823529399</v>
      </c>
      <c r="K239" s="6">
        <v>0.56932352941176467</v>
      </c>
      <c r="L239" s="6">
        <v>0</v>
      </c>
      <c r="M239" s="6">
        <v>0.22797058823529409</v>
      </c>
      <c r="N239" s="6">
        <v>28.33741176470588</v>
      </c>
      <c r="O239" s="6">
        <v>1.1052352941176469</v>
      </c>
      <c r="P239" s="6">
        <v>1.2730882352941175</v>
      </c>
      <c r="Q239" s="6">
        <v>0.66023529411764703</v>
      </c>
      <c r="R239" s="6">
        <v>0.51570588235294113</v>
      </c>
      <c r="S239" s="16">
        <v>25.358470588235296</v>
      </c>
      <c r="T239" s="16">
        <v>0.15117647058823527</v>
      </c>
      <c r="U239" s="16">
        <v>0.15841176470588234</v>
      </c>
      <c r="V239" s="6">
        <v>32.874205882352939</v>
      </c>
      <c r="W239" s="6">
        <v>2.8023823529411764</v>
      </c>
      <c r="X239" s="6">
        <v>39.139647058823527</v>
      </c>
      <c r="Y239" s="6">
        <v>0.11211764705882353</v>
      </c>
      <c r="Z239" s="6">
        <v>1.1344705882352941</v>
      </c>
      <c r="AA239" s="6">
        <v>0.47535294117647059</v>
      </c>
      <c r="AB239" s="6">
        <v>0.57820588235294113</v>
      </c>
      <c r="AC239" s="6">
        <v>14.66655882352941</v>
      </c>
      <c r="AD239" s="6">
        <v>1.002941176470588E-2</v>
      </c>
      <c r="AE239" s="6">
        <v>0.35497058823529409</v>
      </c>
      <c r="AF239" s="6">
        <v>0.16776470588235293</v>
      </c>
      <c r="AG239" s="6">
        <v>9.1705882352941165E-2</v>
      </c>
      <c r="AH239" s="6">
        <v>0.75014705882352939</v>
      </c>
      <c r="AI239" s="6">
        <v>0.20952941176470585</v>
      </c>
      <c r="AJ239" s="6">
        <v>2.1191764705882354</v>
      </c>
    </row>
    <row r="240" spans="1:36" x14ac:dyDescent="0.25">
      <c r="A240" s="7" t="s">
        <v>306</v>
      </c>
      <c r="B240" s="27" t="s">
        <v>626</v>
      </c>
      <c r="C240" s="7" t="s">
        <v>261</v>
      </c>
      <c r="D240" s="7" t="s">
        <v>288</v>
      </c>
      <c r="E240" s="7">
        <v>6</v>
      </c>
      <c r="F240" s="7" t="s">
        <v>14</v>
      </c>
      <c r="G240" s="8" t="s">
        <v>1012</v>
      </c>
      <c r="H240" s="5">
        <f t="shared" si="3"/>
        <v>47.641970588235289</v>
      </c>
      <c r="I240" s="6">
        <v>7.355882352941176E-2</v>
      </c>
      <c r="J240" s="6">
        <v>0.27244117647058824</v>
      </c>
      <c r="K240" s="6">
        <v>0.20729411764705882</v>
      </c>
      <c r="L240" s="6">
        <v>0</v>
      </c>
      <c r="M240" s="6">
        <v>5.9764705882352942E-2</v>
      </c>
      <c r="N240" s="6">
        <v>7.7072058823529401</v>
      </c>
      <c r="O240" s="6">
        <v>0.26529411764705879</v>
      </c>
      <c r="P240" s="6">
        <v>0.38261764705882351</v>
      </c>
      <c r="Q240" s="6">
        <v>0.25729411764705878</v>
      </c>
      <c r="R240" s="6">
        <v>0.18647058823529411</v>
      </c>
      <c r="S240" s="15">
        <v>8.8849999999999998</v>
      </c>
      <c r="T240" s="15">
        <v>4.3999999999999997E-2</v>
      </c>
      <c r="U240" s="15">
        <v>0.05</v>
      </c>
      <c r="V240" s="6">
        <v>11.278117647058822</v>
      </c>
      <c r="W240" s="6">
        <v>0.85847058823529399</v>
      </c>
      <c r="X240" s="6">
        <v>9.7554411764705868</v>
      </c>
      <c r="Y240" s="6">
        <v>7.829411764705882E-2</v>
      </c>
      <c r="Z240" s="6">
        <v>0.12029411764705882</v>
      </c>
      <c r="AA240" s="6">
        <v>0.18352941176470586</v>
      </c>
      <c r="AB240" s="6">
        <v>0.24635294117647058</v>
      </c>
      <c r="AC240" s="6">
        <v>5.0575294117647056</v>
      </c>
      <c r="AD240" s="6">
        <v>3.4705882352941177E-3</v>
      </c>
      <c r="AE240" s="6">
        <v>0.12597058823529411</v>
      </c>
      <c r="AF240" s="6">
        <v>6.6176470588235281E-2</v>
      </c>
      <c r="AG240" s="6">
        <v>4.8235294117647057E-2</v>
      </c>
      <c r="AH240" s="6">
        <v>0.27591176470588236</v>
      </c>
      <c r="AI240" s="6">
        <v>6.358823529411764E-2</v>
      </c>
      <c r="AJ240" s="6">
        <v>1.0896470588235292</v>
      </c>
    </row>
    <row r="241" spans="1:36" x14ac:dyDescent="0.25">
      <c r="A241" s="7" t="s">
        <v>307</v>
      </c>
      <c r="B241" s="27" t="s">
        <v>627</v>
      </c>
      <c r="C241" s="7" t="s">
        <v>261</v>
      </c>
      <c r="D241" s="7" t="s">
        <v>290</v>
      </c>
      <c r="E241" s="7">
        <v>6</v>
      </c>
      <c r="F241" s="7" t="s">
        <v>14</v>
      </c>
      <c r="G241" s="8" t="s">
        <v>1012</v>
      </c>
      <c r="H241" s="5">
        <f t="shared" si="3"/>
        <v>48.069764705882356</v>
      </c>
      <c r="I241" s="6">
        <v>9.2999999999999999E-2</v>
      </c>
      <c r="J241" s="6">
        <v>0.30467647058823527</v>
      </c>
      <c r="K241" s="6">
        <v>0.23470588235294115</v>
      </c>
      <c r="L241" s="6">
        <v>0</v>
      </c>
      <c r="M241" s="6">
        <v>7.6235294117647054E-2</v>
      </c>
      <c r="N241" s="6">
        <v>9.4772058823529406</v>
      </c>
      <c r="O241" s="6">
        <v>0.20311764705882351</v>
      </c>
      <c r="P241" s="6">
        <v>0.1585</v>
      </c>
      <c r="Q241" s="6">
        <v>0.1883235294117647</v>
      </c>
      <c r="R241" s="6">
        <v>0.19841176470588234</v>
      </c>
      <c r="S241" s="15">
        <v>10.211</v>
      </c>
      <c r="T241" s="15">
        <v>6.0999999999999999E-2</v>
      </c>
      <c r="U241" s="15">
        <v>3.4000000000000002E-2</v>
      </c>
      <c r="V241" s="6">
        <v>5.3792058823529407</v>
      </c>
      <c r="W241" s="6">
        <v>0.87529411764705867</v>
      </c>
      <c r="X241" s="6">
        <v>11.313970588235293</v>
      </c>
      <c r="Y241" s="6">
        <v>5.6264705882352939E-2</v>
      </c>
      <c r="Z241" s="6">
        <v>0.14723529411764705</v>
      </c>
      <c r="AA241" s="6">
        <v>0.17117647058823529</v>
      </c>
      <c r="AB241" s="6">
        <v>0.28085294117647058</v>
      </c>
      <c r="AC241" s="6">
        <v>6.2836764705882349</v>
      </c>
      <c r="AD241" s="6">
        <v>4.7941176470588228E-3</v>
      </c>
      <c r="AE241" s="6">
        <v>0.14408823529411763</v>
      </c>
      <c r="AF241" s="6">
        <v>7.588235294117647E-2</v>
      </c>
      <c r="AG241" s="6">
        <v>5.4411764705882347E-2</v>
      </c>
      <c r="AH241" s="6">
        <v>0.44370588235294112</v>
      </c>
      <c r="AI241" s="6">
        <v>0.11138235294117646</v>
      </c>
      <c r="AJ241" s="6">
        <v>1.4876470588235293</v>
      </c>
    </row>
    <row r="242" spans="1:36" x14ac:dyDescent="0.25">
      <c r="A242" s="7" t="s">
        <v>308</v>
      </c>
      <c r="B242" s="27" t="s">
        <v>628</v>
      </c>
      <c r="C242" s="7" t="s">
        <v>261</v>
      </c>
      <c r="D242" s="7" t="s">
        <v>292</v>
      </c>
      <c r="E242" s="7">
        <v>6</v>
      </c>
      <c r="F242" s="7" t="s">
        <v>14</v>
      </c>
      <c r="G242" s="8" t="s">
        <v>1012</v>
      </c>
      <c r="H242" s="5">
        <f t="shared" si="3"/>
        <v>48.971205882352933</v>
      </c>
      <c r="I242" s="6">
        <v>5.0411764705882343E-2</v>
      </c>
      <c r="J242" s="6">
        <v>0.26373529411764701</v>
      </c>
      <c r="K242" s="6">
        <v>0.22123529411764703</v>
      </c>
      <c r="L242" s="6">
        <v>0</v>
      </c>
      <c r="M242" s="6">
        <v>6.4764705882352946E-2</v>
      </c>
      <c r="N242" s="6">
        <v>9.2712941176470576</v>
      </c>
      <c r="O242" s="6">
        <v>0.27073529411764707</v>
      </c>
      <c r="P242" s="6">
        <v>0.2146176470588235</v>
      </c>
      <c r="Q242" s="6">
        <v>0.19511764705882351</v>
      </c>
      <c r="R242" s="6">
        <v>0.18023529411764705</v>
      </c>
      <c r="S242" s="15">
        <v>10.315</v>
      </c>
      <c r="T242" s="15">
        <v>6.5000000000000002E-2</v>
      </c>
      <c r="U242" s="15">
        <v>4.2999999999999997E-2</v>
      </c>
      <c r="V242" s="6">
        <v>7.0547058823529412</v>
      </c>
      <c r="W242" s="6">
        <v>0.87876470588235289</v>
      </c>
      <c r="X242" s="6">
        <v>11.060294117647057</v>
      </c>
      <c r="Y242" s="6">
        <v>7.041176470588234E-2</v>
      </c>
      <c r="Z242" s="6">
        <v>0.17282352941176468</v>
      </c>
      <c r="AA242" s="6">
        <v>0.18611764705882353</v>
      </c>
      <c r="AB242" s="6">
        <v>0.28764705882352937</v>
      </c>
      <c r="AC242" s="6">
        <v>5.9135294117647055</v>
      </c>
      <c r="AD242" s="6">
        <v>2.176470588235294E-3</v>
      </c>
      <c r="AE242" s="6">
        <v>0.13855882352941176</v>
      </c>
      <c r="AF242" s="6">
        <v>9.4294117647058806E-2</v>
      </c>
      <c r="AG242" s="6">
        <v>4.2117647058823524E-2</v>
      </c>
      <c r="AH242" s="6">
        <v>0.40602941176470586</v>
      </c>
      <c r="AI242" s="6">
        <v>9.8441176470588226E-2</v>
      </c>
      <c r="AJ242" s="6">
        <v>1.4101470588235292</v>
      </c>
    </row>
    <row r="243" spans="1:36" x14ac:dyDescent="0.25">
      <c r="A243" s="7" t="s">
        <v>309</v>
      </c>
      <c r="B243" s="27" t="s">
        <v>629</v>
      </c>
      <c r="C243" s="7" t="s">
        <v>261</v>
      </c>
      <c r="D243" s="7" t="s">
        <v>262</v>
      </c>
      <c r="E243" s="7">
        <v>0</v>
      </c>
      <c r="F243" s="7" t="s">
        <v>15</v>
      </c>
      <c r="G243" s="8" t="s">
        <v>1012</v>
      </c>
      <c r="H243" s="5">
        <f t="shared" si="3"/>
        <v>41.051117647058817</v>
      </c>
      <c r="I243" s="6">
        <v>3.964705882352941E-2</v>
      </c>
      <c r="J243" s="6">
        <v>0.315</v>
      </c>
      <c r="K243" s="6">
        <v>0.54017647058823526</v>
      </c>
      <c r="L243" s="6">
        <v>0</v>
      </c>
      <c r="M243" s="6">
        <v>0.10338235294117647</v>
      </c>
      <c r="N243" s="6">
        <v>9.0243529411764705</v>
      </c>
      <c r="O243" s="6">
        <v>0</v>
      </c>
      <c r="P243" s="6">
        <v>0</v>
      </c>
      <c r="Q243" s="6">
        <v>1.344970588235294</v>
      </c>
      <c r="R243" s="6">
        <v>0.14208823529411763</v>
      </c>
      <c r="S243" s="15">
        <v>6.6180000000000003</v>
      </c>
      <c r="T243" s="15">
        <v>0</v>
      </c>
      <c r="U243" s="15">
        <v>0</v>
      </c>
      <c r="V243" s="6">
        <v>7.5260882352941172</v>
      </c>
      <c r="W243" s="6">
        <v>0.94005882352941172</v>
      </c>
      <c r="X243" s="6">
        <v>8.4642058823529407</v>
      </c>
      <c r="Y243" s="6">
        <v>4.6147058823529402E-2</v>
      </c>
      <c r="Z243" s="6">
        <v>0.2622647058823529</v>
      </c>
      <c r="AA243" s="6">
        <v>0.10691176470588235</v>
      </c>
      <c r="AB243" s="6">
        <v>0.16255882352941176</v>
      </c>
      <c r="AC243" s="6">
        <v>3.6253823529411759</v>
      </c>
      <c r="AD243" s="6">
        <v>4.0735294117647057E-2</v>
      </c>
      <c r="AE243" s="6">
        <v>0.11167647058823528</v>
      </c>
      <c r="AF243" s="6">
        <v>8.5147058823529409E-2</v>
      </c>
      <c r="AG243" s="6">
        <v>4.9058823529411759E-2</v>
      </c>
      <c r="AH243" s="6">
        <v>0.51182352941176468</v>
      </c>
      <c r="AI243" s="6">
        <v>0.10020588235294117</v>
      </c>
      <c r="AJ243" s="6">
        <v>0.89123529411764701</v>
      </c>
    </row>
    <row r="244" spans="1:36" x14ac:dyDescent="0.25">
      <c r="A244" s="8" t="s">
        <v>310</v>
      </c>
      <c r="B244" s="27" t="s">
        <v>630</v>
      </c>
      <c r="C244" s="8" t="s">
        <v>261</v>
      </c>
      <c r="D244" s="8" t="s">
        <v>268</v>
      </c>
      <c r="E244" s="8">
        <v>1</v>
      </c>
      <c r="F244" s="8" t="s">
        <v>15</v>
      </c>
      <c r="G244" s="8" t="s">
        <v>1012</v>
      </c>
      <c r="H244" s="5">
        <f t="shared" si="3"/>
        <v>444.09376470588234</v>
      </c>
      <c r="I244" s="6">
        <v>0.3277647058823529</v>
      </c>
      <c r="J244" s="6">
        <v>1.3988529411764703</v>
      </c>
      <c r="K244" s="6">
        <v>7.9018823529411764</v>
      </c>
      <c r="L244" s="6">
        <v>0</v>
      </c>
      <c r="M244" s="6">
        <v>0.78538235294117642</v>
      </c>
      <c r="N244" s="6">
        <v>114.69097058823527</v>
      </c>
      <c r="O244" s="6">
        <v>0.24238235294117644</v>
      </c>
      <c r="P244" s="6">
        <v>1.0111176470588235</v>
      </c>
      <c r="Q244" s="6">
        <v>26.43697058823529</v>
      </c>
      <c r="R244" s="6">
        <v>0.94702941176470579</v>
      </c>
      <c r="S244" s="16">
        <v>33.722970588235292</v>
      </c>
      <c r="T244" s="16">
        <v>5.8823529411764701E-4</v>
      </c>
      <c r="U244" s="16">
        <v>0</v>
      </c>
      <c r="V244" s="6">
        <v>122.70855882352942</v>
      </c>
      <c r="W244" s="6">
        <v>10.955941176470589</v>
      </c>
      <c r="X244" s="6">
        <v>95.508617647058813</v>
      </c>
      <c r="Y244" s="6">
        <v>0.3490588235294117</v>
      </c>
      <c r="Z244" s="6">
        <v>5.0947058823529403</v>
      </c>
      <c r="AA244" s="6">
        <v>0.56914705882352934</v>
      </c>
      <c r="AB244" s="6">
        <v>1.7787058823529409</v>
      </c>
      <c r="AC244" s="6">
        <v>13.117205882352941</v>
      </c>
      <c r="AD244" s="6">
        <v>0.13197058823529412</v>
      </c>
      <c r="AE244" s="6">
        <v>0.41408823529411759</v>
      </c>
      <c r="AF244" s="6">
        <v>0.31132352941176467</v>
      </c>
      <c r="AG244" s="6">
        <v>0.20814705882352941</v>
      </c>
      <c r="AH244" s="6">
        <v>1.7656470588235291</v>
      </c>
      <c r="AI244" s="6">
        <v>0.36591176470588233</v>
      </c>
      <c r="AJ244" s="6">
        <v>3.3488235294117645</v>
      </c>
    </row>
    <row r="245" spans="1:36" x14ac:dyDescent="0.25">
      <c r="A245" s="8" t="s">
        <v>311</v>
      </c>
      <c r="B245" s="27" t="s">
        <v>631</v>
      </c>
      <c r="C245" s="8" t="s">
        <v>261</v>
      </c>
      <c r="D245" s="8" t="s">
        <v>264</v>
      </c>
      <c r="E245" s="8">
        <v>1</v>
      </c>
      <c r="F245" s="8" t="s">
        <v>15</v>
      </c>
      <c r="G245" s="8" t="s">
        <v>1012</v>
      </c>
      <c r="H245" s="5">
        <f t="shared" si="3"/>
        <v>117.00044117647059</v>
      </c>
      <c r="I245" s="6">
        <v>0.10249999999999999</v>
      </c>
      <c r="J245" s="6">
        <v>0.38805882352941173</v>
      </c>
      <c r="K245" s="6">
        <v>1.5078529411764703</v>
      </c>
      <c r="L245" s="6">
        <v>0</v>
      </c>
      <c r="M245" s="6">
        <v>0.24882352941176467</v>
      </c>
      <c r="N245" s="6">
        <v>28.467823529411763</v>
      </c>
      <c r="O245" s="6">
        <v>1.4117647058823526E-2</v>
      </c>
      <c r="P245" s="6">
        <v>0</v>
      </c>
      <c r="Q245" s="6">
        <v>5.4157647058823528</v>
      </c>
      <c r="R245" s="6">
        <v>0.34002941176470586</v>
      </c>
      <c r="S245" s="16">
        <v>11.956735294117646</v>
      </c>
      <c r="T245" s="16">
        <v>0</v>
      </c>
      <c r="U245" s="16">
        <v>0</v>
      </c>
      <c r="V245" s="6">
        <v>24.456235294117647</v>
      </c>
      <c r="W245" s="6">
        <v>2.6703235294117644</v>
      </c>
      <c r="X245" s="6">
        <v>29.752676470588231</v>
      </c>
      <c r="Y245" s="6">
        <v>0.12258823529411764</v>
      </c>
      <c r="Z245" s="6">
        <v>1.3465882352941176</v>
      </c>
      <c r="AA245" s="6">
        <v>0.22297058823529411</v>
      </c>
      <c r="AB245" s="6">
        <v>0.59005882352941175</v>
      </c>
      <c r="AC245" s="6">
        <v>6.3077058823529413</v>
      </c>
      <c r="AD245" s="6">
        <v>6.0588235294117644E-2</v>
      </c>
      <c r="AE245" s="6">
        <v>0.18855882352941175</v>
      </c>
      <c r="AF245" s="6">
        <v>0.13238235294117645</v>
      </c>
      <c r="AG245" s="6">
        <v>7.1323529411764702E-2</v>
      </c>
      <c r="AH245" s="6">
        <v>0.92091176470588232</v>
      </c>
      <c r="AI245" s="6">
        <v>0.15952941176470586</v>
      </c>
      <c r="AJ245" s="6">
        <v>1.5562941176470588</v>
      </c>
    </row>
    <row r="246" spans="1:36" x14ac:dyDescent="0.25">
      <c r="A246" s="8" t="s">
        <v>312</v>
      </c>
      <c r="B246" s="27" t="s">
        <v>632</v>
      </c>
      <c r="C246" s="8" t="s">
        <v>261</v>
      </c>
      <c r="D246" s="8" t="s">
        <v>266</v>
      </c>
      <c r="E246" s="8">
        <v>1</v>
      </c>
      <c r="F246" s="8" t="s">
        <v>15</v>
      </c>
      <c r="G246" s="8" t="s">
        <v>1012</v>
      </c>
      <c r="H246" s="5">
        <f t="shared" si="3"/>
        <v>118.74638235294118</v>
      </c>
      <c r="I246" s="6">
        <v>0.10641176470588233</v>
      </c>
      <c r="J246" s="6">
        <v>0.3828823529411764</v>
      </c>
      <c r="K246" s="6">
        <v>2.022205882352941</v>
      </c>
      <c r="L246" s="6">
        <v>0</v>
      </c>
      <c r="M246" s="6">
        <v>0.23605882352941174</v>
      </c>
      <c r="N246" s="6">
        <v>29.355470588235292</v>
      </c>
      <c r="O246" s="6">
        <v>2.3411764705882351E-2</v>
      </c>
      <c r="P246" s="6">
        <v>0.29347058823529409</v>
      </c>
      <c r="Q246" s="6">
        <v>5.1822941176470589</v>
      </c>
      <c r="R246" s="6">
        <v>0.30626470588235294</v>
      </c>
      <c r="S246" s="16">
        <v>11.060735294117647</v>
      </c>
      <c r="T246" s="16">
        <v>0</v>
      </c>
      <c r="U246" s="16">
        <v>0</v>
      </c>
      <c r="V246" s="6">
        <v>34.269705882352937</v>
      </c>
      <c r="W246" s="6">
        <v>2.5820294117647054</v>
      </c>
      <c r="X246" s="6">
        <v>24.276235294117647</v>
      </c>
      <c r="Y246" s="6">
        <v>8.6294117647058827E-2</v>
      </c>
      <c r="Z246" s="6">
        <v>1.0292647058823527</v>
      </c>
      <c r="AA246" s="6">
        <v>0.18838235294117645</v>
      </c>
      <c r="AB246" s="6">
        <v>0.55764705882352938</v>
      </c>
      <c r="AC246" s="6">
        <v>4.6462352941176466</v>
      </c>
      <c r="AD246" s="6">
        <v>3.4852941176470587E-2</v>
      </c>
      <c r="AE246" s="6">
        <v>0.13308823529411762</v>
      </c>
      <c r="AF246" s="6">
        <v>6.6323529411764698E-2</v>
      </c>
      <c r="AG246" s="6">
        <v>5.8970588235294108E-2</v>
      </c>
      <c r="AH246" s="6">
        <v>0.59091176470588236</v>
      </c>
      <c r="AI246" s="6">
        <v>0.11752941176470588</v>
      </c>
      <c r="AJ246" s="6">
        <v>1.1397058823529411</v>
      </c>
    </row>
    <row r="247" spans="1:36" x14ac:dyDescent="0.25">
      <c r="A247" s="7" t="s">
        <v>313</v>
      </c>
      <c r="B247" s="27" t="s">
        <v>633</v>
      </c>
      <c r="C247" s="7" t="s">
        <v>261</v>
      </c>
      <c r="D247" s="7" t="s">
        <v>270</v>
      </c>
      <c r="E247" s="7">
        <v>1</v>
      </c>
      <c r="F247" s="7" t="s">
        <v>15</v>
      </c>
      <c r="G247" s="8" t="s">
        <v>1012</v>
      </c>
      <c r="H247" s="5">
        <f t="shared" si="3"/>
        <v>84.40026470588235</v>
      </c>
      <c r="I247" s="6">
        <v>5.0441176470588225E-2</v>
      </c>
      <c r="J247" s="6">
        <v>0.44226470588235289</v>
      </c>
      <c r="K247" s="6">
        <v>1.1935588235294117</v>
      </c>
      <c r="L247" s="6">
        <v>0</v>
      </c>
      <c r="M247" s="6">
        <v>0.1661470588235294</v>
      </c>
      <c r="N247" s="6">
        <v>21.765617647058821</v>
      </c>
      <c r="O247" s="6">
        <v>4.6852941176470583E-2</v>
      </c>
      <c r="P247" s="6">
        <v>8.8176470588235287E-2</v>
      </c>
      <c r="Q247" s="6">
        <v>2.9302941176470583</v>
      </c>
      <c r="R247" s="6">
        <v>0.21652941176470589</v>
      </c>
      <c r="S247" s="15">
        <v>8</v>
      </c>
      <c r="T247" s="15">
        <v>0</v>
      </c>
      <c r="U247" s="15">
        <v>0</v>
      </c>
      <c r="V247" s="6">
        <v>18.433352941176469</v>
      </c>
      <c r="W247" s="6">
        <v>1.6894705882352941</v>
      </c>
      <c r="X247" s="6">
        <v>22.244088235294114</v>
      </c>
      <c r="Y247" s="6">
        <v>7.4264705882352941E-2</v>
      </c>
      <c r="Z247" s="6">
        <v>0.79435294117647048</v>
      </c>
      <c r="AA247" s="6">
        <v>0.50288235294117645</v>
      </c>
      <c r="AB247" s="6">
        <v>0.66947058823529404</v>
      </c>
      <c r="AC247" s="6">
        <v>3.247882352941176</v>
      </c>
      <c r="AD247" s="6">
        <v>3.6264705882352942E-2</v>
      </c>
      <c r="AE247" s="6">
        <v>0.18808823529411764</v>
      </c>
      <c r="AF247" s="6">
        <v>5.8735294117647059E-2</v>
      </c>
      <c r="AG247" s="6">
        <v>5.5058823529411764E-2</v>
      </c>
      <c r="AH247" s="6">
        <v>0.4998529411764705</v>
      </c>
      <c r="AI247" s="6">
        <v>9.6970588235294114E-2</v>
      </c>
      <c r="AJ247" s="6">
        <v>0.90964705882352936</v>
      </c>
    </row>
    <row r="248" spans="1:36" x14ac:dyDescent="0.25">
      <c r="A248" s="7" t="s">
        <v>314</v>
      </c>
      <c r="B248" s="27" t="s">
        <v>634</v>
      </c>
      <c r="C248" s="7" t="s">
        <v>261</v>
      </c>
      <c r="D248" s="7" t="s">
        <v>272</v>
      </c>
      <c r="E248" s="7">
        <v>1</v>
      </c>
      <c r="F248" s="7" t="s">
        <v>15</v>
      </c>
      <c r="G248" s="8" t="s">
        <v>1012</v>
      </c>
      <c r="H248" s="5">
        <f t="shared" si="3"/>
        <v>112.60408823529409</v>
      </c>
      <c r="I248" s="6">
        <v>0.10317647058823529</v>
      </c>
      <c r="J248" s="6">
        <v>0.39470588235294118</v>
      </c>
      <c r="K248" s="6">
        <v>1.4116764705882352</v>
      </c>
      <c r="L248" s="6">
        <v>0</v>
      </c>
      <c r="M248" s="6">
        <v>0.21055882352941174</v>
      </c>
      <c r="N248" s="6">
        <v>21.821823529411763</v>
      </c>
      <c r="O248" s="6">
        <v>0.24644117647058822</v>
      </c>
      <c r="P248" s="6">
        <v>0.79861764705882343</v>
      </c>
      <c r="Q248" s="6">
        <v>4.3728235294117646</v>
      </c>
      <c r="R248" s="6">
        <v>0.27920588235294114</v>
      </c>
      <c r="S248" s="15">
        <v>10.686</v>
      </c>
      <c r="T248" s="15">
        <v>0</v>
      </c>
      <c r="U248" s="15">
        <v>0</v>
      </c>
      <c r="V248" s="6">
        <v>38.97829411764706</v>
      </c>
      <c r="W248" s="6">
        <v>2.6205588235294113</v>
      </c>
      <c r="X248" s="6">
        <v>21.451676470588232</v>
      </c>
      <c r="Y248" s="6">
        <v>8.8823529411764704E-2</v>
      </c>
      <c r="Z248" s="6">
        <v>1.0057647058823529</v>
      </c>
      <c r="AA248" s="6">
        <v>0.17514705882352941</v>
      </c>
      <c r="AB248" s="6">
        <v>0.45085294117647057</v>
      </c>
      <c r="AC248" s="6">
        <v>5.0725588235294108</v>
      </c>
      <c r="AD248" s="6">
        <v>5.0235294117647059E-2</v>
      </c>
      <c r="AE248" s="6">
        <v>0.1424705882352941</v>
      </c>
      <c r="AF248" s="6">
        <v>0.10008823529411763</v>
      </c>
      <c r="AG248" s="6">
        <v>6.6676470588235282E-2</v>
      </c>
      <c r="AH248" s="6">
        <v>0.65385294117647053</v>
      </c>
      <c r="AI248" s="6">
        <v>0.12567647058823528</v>
      </c>
      <c r="AJ248" s="6">
        <v>1.2963823529411764</v>
      </c>
    </row>
    <row r="249" spans="1:36" x14ac:dyDescent="0.25">
      <c r="A249" s="8" t="s">
        <v>315</v>
      </c>
      <c r="B249" s="27" t="s">
        <v>635</v>
      </c>
      <c r="C249" s="8" t="s">
        <v>261</v>
      </c>
      <c r="D249" s="8" t="s">
        <v>274</v>
      </c>
      <c r="E249" s="8">
        <v>2</v>
      </c>
      <c r="F249" s="7" t="s">
        <v>15</v>
      </c>
      <c r="G249" s="8" t="s">
        <v>1012</v>
      </c>
      <c r="H249" s="5">
        <f t="shared" si="3"/>
        <v>115.15335294117645</v>
      </c>
      <c r="I249" s="6">
        <v>8.3382352941176463E-2</v>
      </c>
      <c r="J249" s="6">
        <v>0.36335294117647055</v>
      </c>
      <c r="K249" s="6">
        <v>1.1709705882352939</v>
      </c>
      <c r="L249" s="6">
        <v>0</v>
      </c>
      <c r="M249" s="6">
        <v>0.20120588235294115</v>
      </c>
      <c r="N249" s="6">
        <v>22.362941176470585</v>
      </c>
      <c r="O249" s="6">
        <v>8.7764705882352925E-2</v>
      </c>
      <c r="P249" s="6">
        <v>0.97685294117647048</v>
      </c>
      <c r="Q249" s="6">
        <v>3.2114999999999996</v>
      </c>
      <c r="R249" s="6">
        <v>0.26685294117647057</v>
      </c>
      <c r="S249" s="16">
        <v>11.376558823529411</v>
      </c>
      <c r="T249" s="16">
        <v>2.0588235294117643E-4</v>
      </c>
      <c r="U249" s="16">
        <v>3.0441176470588232E-2</v>
      </c>
      <c r="V249" s="6">
        <v>43.196205882352935</v>
      </c>
      <c r="W249" s="6">
        <v>2.7836470588235289</v>
      </c>
      <c r="X249" s="6">
        <v>18.643941176470587</v>
      </c>
      <c r="Y249" s="6">
        <v>7.5205882352941164E-2</v>
      </c>
      <c r="Z249" s="6">
        <v>0.9335</v>
      </c>
      <c r="AA249" s="6">
        <v>0.19044117647058822</v>
      </c>
      <c r="AB249" s="6">
        <v>0.41358823529411759</v>
      </c>
      <c r="AC249" s="6">
        <v>6.0959411764705882</v>
      </c>
      <c r="AD249" s="6">
        <v>4.5411764705882353E-2</v>
      </c>
      <c r="AE249" s="6">
        <v>0.16338235294117645</v>
      </c>
      <c r="AF249" s="6">
        <v>9.7470588235294114E-2</v>
      </c>
      <c r="AG249" s="6">
        <v>7.4147058823529399E-2</v>
      </c>
      <c r="AH249" s="6">
        <v>0.7896764705882352</v>
      </c>
      <c r="AI249" s="6">
        <v>0.17402941176470588</v>
      </c>
      <c r="AJ249" s="6">
        <v>1.3447352941176469</v>
      </c>
    </row>
    <row r="250" spans="1:36" x14ac:dyDescent="0.25">
      <c r="A250" s="8" t="s">
        <v>316</v>
      </c>
      <c r="B250" s="27" t="s">
        <v>636</v>
      </c>
      <c r="C250" s="8" t="s">
        <v>261</v>
      </c>
      <c r="D250" s="8" t="s">
        <v>276</v>
      </c>
      <c r="E250" s="8">
        <v>2</v>
      </c>
      <c r="F250" s="7" t="s">
        <v>15</v>
      </c>
      <c r="G250" s="8" t="s">
        <v>1012</v>
      </c>
      <c r="H250" s="5">
        <f t="shared" si="3"/>
        <v>321.92826470588238</v>
      </c>
      <c r="I250" s="6">
        <v>0.15314705882352939</v>
      </c>
      <c r="J250" s="6">
        <v>0.65144117647058819</v>
      </c>
      <c r="K250" s="6">
        <v>5.4006764705882349</v>
      </c>
      <c r="L250" s="6">
        <v>0</v>
      </c>
      <c r="M250" s="6">
        <v>0.62397058823529405</v>
      </c>
      <c r="N250" s="6">
        <v>74.681882352941159</v>
      </c>
      <c r="O250" s="6">
        <v>0.30252941176470582</v>
      </c>
      <c r="P250" s="6">
        <v>0.5292941176470588</v>
      </c>
      <c r="Q250" s="6">
        <v>21.83926470588235</v>
      </c>
      <c r="R250" s="6">
        <v>0.64058823529411757</v>
      </c>
      <c r="S250" s="16">
        <v>15.125941176470588</v>
      </c>
      <c r="T250" s="16">
        <v>0</v>
      </c>
      <c r="U250" s="16">
        <v>1.8941176470588236E-2</v>
      </c>
      <c r="V250" s="6">
        <v>92.557882352941164</v>
      </c>
      <c r="W250" s="6">
        <v>8.8333235294117642</v>
      </c>
      <c r="X250" s="6">
        <v>83.969823529411755</v>
      </c>
      <c r="Y250" s="6">
        <v>0.18214705882352938</v>
      </c>
      <c r="Z250" s="6">
        <v>4.7689411764705882</v>
      </c>
      <c r="AA250" s="6">
        <v>0.32823529411764707</v>
      </c>
      <c r="AB250" s="6">
        <v>1.8303235294117646</v>
      </c>
      <c r="AC250" s="6">
        <v>6.2948529411764698</v>
      </c>
      <c r="AD250" s="6">
        <v>8.5764705882352923E-2</v>
      </c>
      <c r="AE250" s="6">
        <v>0.18135294117647058</v>
      </c>
      <c r="AF250" s="6">
        <v>0.13552941176470587</v>
      </c>
      <c r="AG250" s="6">
        <v>0.12294117647058822</v>
      </c>
      <c r="AH250" s="6">
        <v>0.9610294117647058</v>
      </c>
      <c r="AI250" s="6">
        <v>0.1698529411764706</v>
      </c>
      <c r="AJ250" s="6">
        <v>1.5385882352941176</v>
      </c>
    </row>
    <row r="251" spans="1:36" x14ac:dyDescent="0.25">
      <c r="A251" s="7" t="s">
        <v>317</v>
      </c>
      <c r="B251" s="27" t="s">
        <v>637</v>
      </c>
      <c r="C251" s="7" t="s">
        <v>261</v>
      </c>
      <c r="D251" s="7" t="s">
        <v>278</v>
      </c>
      <c r="E251" s="7">
        <v>2</v>
      </c>
      <c r="F251" s="7" t="s">
        <v>15</v>
      </c>
      <c r="G251" s="8" t="s">
        <v>1012</v>
      </c>
      <c r="H251" s="5">
        <f t="shared" si="3"/>
        <v>128.44785294117648</v>
      </c>
      <c r="I251" s="6">
        <v>5.8029411764705878E-2</v>
      </c>
      <c r="J251" s="6">
        <v>0.36861764705882349</v>
      </c>
      <c r="K251" s="6">
        <v>1.771735294117647</v>
      </c>
      <c r="L251" s="6">
        <v>0</v>
      </c>
      <c r="M251" s="6">
        <v>0.25691176470588234</v>
      </c>
      <c r="N251" s="6">
        <v>28.136088235294114</v>
      </c>
      <c r="O251" s="6">
        <v>3.6441176470588234E-2</v>
      </c>
      <c r="P251" s="6">
        <v>2.241176470588235E-2</v>
      </c>
      <c r="Q251" s="6">
        <v>5.4475588235294117</v>
      </c>
      <c r="R251" s="6">
        <v>0.30105882352941177</v>
      </c>
      <c r="S251" s="15">
        <v>8.3960000000000008</v>
      </c>
      <c r="T251" s="15">
        <v>0</v>
      </c>
      <c r="U251" s="15">
        <v>0</v>
      </c>
      <c r="V251" s="6">
        <v>34.942852941176469</v>
      </c>
      <c r="W251" s="6">
        <v>3.1266764705882348</v>
      </c>
      <c r="X251" s="6">
        <v>37.201941176470584</v>
      </c>
      <c r="Y251" s="6">
        <v>0.10926470588235294</v>
      </c>
      <c r="Z251" s="6">
        <v>1.312205882352941</v>
      </c>
      <c r="AA251" s="6">
        <v>0.22811764705882354</v>
      </c>
      <c r="AB251" s="6">
        <v>1.2082352941176469</v>
      </c>
      <c r="AC251" s="6">
        <v>3.5574999999999992</v>
      </c>
      <c r="AD251" s="6">
        <v>4.4352941176470581E-2</v>
      </c>
      <c r="AE251" s="6">
        <v>0.11738235294117647</v>
      </c>
      <c r="AF251" s="6">
        <v>8.5970588235294104E-2</v>
      </c>
      <c r="AG251" s="6">
        <v>8.9911764705882344E-2</v>
      </c>
      <c r="AH251" s="6">
        <v>0.52117647058823524</v>
      </c>
      <c r="AI251" s="6">
        <v>0.10379411764705881</v>
      </c>
      <c r="AJ251" s="6">
        <v>1.0036176470588234</v>
      </c>
    </row>
    <row r="252" spans="1:36" x14ac:dyDescent="0.25">
      <c r="A252" s="7" t="s">
        <v>318</v>
      </c>
      <c r="B252" s="27" t="s">
        <v>638</v>
      </c>
      <c r="C252" s="7" t="s">
        <v>261</v>
      </c>
      <c r="D252" s="7" t="s">
        <v>280</v>
      </c>
      <c r="E252" s="7">
        <v>2</v>
      </c>
      <c r="F252" s="7" t="s">
        <v>15</v>
      </c>
      <c r="G252" s="8" t="s">
        <v>1012</v>
      </c>
      <c r="H252" s="5">
        <f t="shared" si="3"/>
        <v>144.13849999999999</v>
      </c>
      <c r="I252" s="6">
        <v>0.11576470588235294</v>
      </c>
      <c r="J252" s="6">
        <v>0.47147058823529409</v>
      </c>
      <c r="K252" s="6">
        <v>2.1745882352941175</v>
      </c>
      <c r="L252" s="6">
        <v>0</v>
      </c>
      <c r="M252" s="6">
        <v>0.21838235294117644</v>
      </c>
      <c r="N252" s="6">
        <v>32.072735294117649</v>
      </c>
      <c r="O252" s="6">
        <v>0.124</v>
      </c>
      <c r="P252" s="6">
        <v>0.38641176470588229</v>
      </c>
      <c r="Q252" s="6">
        <v>6.9564705882352937</v>
      </c>
      <c r="R252" s="6">
        <v>0.25708823529411762</v>
      </c>
      <c r="S252" s="15">
        <v>10.138999999999999</v>
      </c>
      <c r="T252" s="15">
        <v>0</v>
      </c>
      <c r="U252" s="15">
        <v>0</v>
      </c>
      <c r="V252" s="6">
        <v>50.917205882352938</v>
      </c>
      <c r="W252" s="6">
        <v>3.5345882352941174</v>
      </c>
      <c r="X252" s="6">
        <v>28.133735294117642</v>
      </c>
      <c r="Y252" s="6">
        <v>0.10220588235294117</v>
      </c>
      <c r="Z252" s="6">
        <v>1.1344705882352941</v>
      </c>
      <c r="AA252" s="6">
        <v>0.21038235294117644</v>
      </c>
      <c r="AB252" s="6">
        <v>0.71132352941176469</v>
      </c>
      <c r="AC252" s="6">
        <v>4.2312352941176465</v>
      </c>
      <c r="AD252" s="6">
        <v>3.3441176470588231E-2</v>
      </c>
      <c r="AE252" s="6">
        <v>0.13944117647058824</v>
      </c>
      <c r="AF252" s="6">
        <v>0.06</v>
      </c>
      <c r="AG252" s="6">
        <v>7.1029411764705883E-2</v>
      </c>
      <c r="AH252" s="6">
        <v>0.66097058823529409</v>
      </c>
      <c r="AI252" s="6">
        <v>0.1396470588235294</v>
      </c>
      <c r="AJ252" s="6">
        <v>1.1429117647058822</v>
      </c>
    </row>
    <row r="253" spans="1:36" x14ac:dyDescent="0.25">
      <c r="A253" s="7" t="s">
        <v>319</v>
      </c>
      <c r="B253" s="27" t="s">
        <v>639</v>
      </c>
      <c r="C253" s="7" t="s">
        <v>261</v>
      </c>
      <c r="D253" s="7" t="s">
        <v>282</v>
      </c>
      <c r="E253" s="7">
        <v>2</v>
      </c>
      <c r="F253" s="7" t="s">
        <v>15</v>
      </c>
      <c r="G253" s="8" t="s">
        <v>1012</v>
      </c>
      <c r="H253" s="5">
        <f t="shared" si="3"/>
        <v>135.71882352941176</v>
      </c>
      <c r="I253" s="6">
        <v>0.10117647058823528</v>
      </c>
      <c r="J253" s="6">
        <v>0.41835294117647059</v>
      </c>
      <c r="K253" s="6">
        <v>1.5499117647058824</v>
      </c>
      <c r="L253" s="6">
        <v>0</v>
      </c>
      <c r="M253" s="6">
        <v>0.28355882352941175</v>
      </c>
      <c r="N253" s="6">
        <v>26.59582352941176</v>
      </c>
      <c r="O253" s="6">
        <v>1.1010588235294116</v>
      </c>
      <c r="P253" s="6">
        <v>1.4125882352941175</v>
      </c>
      <c r="Q253" s="6">
        <v>4.5997941176470585</v>
      </c>
      <c r="R253" s="6">
        <v>0.27200000000000002</v>
      </c>
      <c r="S253" s="15">
        <v>10.36</v>
      </c>
      <c r="T253" s="15">
        <v>0</v>
      </c>
      <c r="U253" s="15">
        <v>0</v>
      </c>
      <c r="V253" s="6">
        <v>54.558264705882351</v>
      </c>
      <c r="W253" s="6">
        <v>3.1270882352941172</v>
      </c>
      <c r="X253" s="6">
        <v>22.457617647058822</v>
      </c>
      <c r="Y253" s="6">
        <v>9.3323529411764708E-2</v>
      </c>
      <c r="Z253" s="6">
        <v>1.0387941176470588</v>
      </c>
      <c r="AA253" s="6">
        <v>0.24438235294117644</v>
      </c>
      <c r="AB253" s="6">
        <v>0.54414705882352943</v>
      </c>
      <c r="AC253" s="6">
        <v>4.609911764705882</v>
      </c>
      <c r="AD253" s="6">
        <v>3.9382352941176473E-2</v>
      </c>
      <c r="AE253" s="6">
        <v>0.14979411764705883</v>
      </c>
      <c r="AF253" s="6">
        <v>7.7558823529411763E-2</v>
      </c>
      <c r="AG253" s="6">
        <v>5.6500000000000002E-2</v>
      </c>
      <c r="AH253" s="6">
        <v>0.58464705882352941</v>
      </c>
      <c r="AI253" s="6">
        <v>0.10594117647058823</v>
      </c>
      <c r="AJ253" s="6">
        <v>1.3372058823529411</v>
      </c>
    </row>
    <row r="254" spans="1:36" x14ac:dyDescent="0.25">
      <c r="A254" s="8" t="s">
        <v>320</v>
      </c>
      <c r="B254" s="27" t="s">
        <v>640</v>
      </c>
      <c r="C254" s="8" t="s">
        <v>261</v>
      </c>
      <c r="D254" s="8" t="s">
        <v>284</v>
      </c>
      <c r="E254" s="8">
        <v>6</v>
      </c>
      <c r="F254" s="7" t="s">
        <v>15</v>
      </c>
      <c r="G254" s="8" t="s">
        <v>1012</v>
      </c>
      <c r="H254" s="5">
        <f t="shared" si="3"/>
        <v>160.80238235294121</v>
      </c>
      <c r="I254" s="6">
        <v>9.7235294117647045E-2</v>
      </c>
      <c r="J254" s="6">
        <v>0.4321176470588235</v>
      </c>
      <c r="K254" s="6">
        <v>2.5279117647058822</v>
      </c>
      <c r="L254" s="6">
        <v>0</v>
      </c>
      <c r="M254" s="6">
        <v>0.32085294117647056</v>
      </c>
      <c r="N254" s="6">
        <v>40.054088235294117</v>
      </c>
      <c r="O254" s="6">
        <v>0.1169705882352941</v>
      </c>
      <c r="P254" s="6">
        <v>0.19214705882352939</v>
      </c>
      <c r="Q254" s="6">
        <v>8.8132058823529409</v>
      </c>
      <c r="R254" s="6">
        <v>0.38211764705882351</v>
      </c>
      <c r="S254" s="16">
        <v>12.970852941176471</v>
      </c>
      <c r="T254" s="16">
        <v>3.7735294117647054E-2</v>
      </c>
      <c r="U254" s="16">
        <v>4.4764705882352936E-2</v>
      </c>
      <c r="V254" s="6">
        <v>40.478617647058819</v>
      </c>
      <c r="W254" s="6">
        <v>3.630588235294117</v>
      </c>
      <c r="X254" s="6">
        <v>38.504323529411757</v>
      </c>
      <c r="Y254" s="6">
        <v>0.13826470588235293</v>
      </c>
      <c r="Z254" s="6">
        <v>1.9263235294117647</v>
      </c>
      <c r="AA254" s="6">
        <v>0.27402941176470585</v>
      </c>
      <c r="AB254" s="6">
        <v>1.0296176470588234</v>
      </c>
      <c r="AC254" s="6">
        <v>5.963705882352941</v>
      </c>
      <c r="AD254" s="6">
        <v>4.3117647058823524E-2</v>
      </c>
      <c r="AE254" s="6">
        <v>0.18452941176470589</v>
      </c>
      <c r="AF254" s="6">
        <v>0.11749999999999999</v>
      </c>
      <c r="AG254" s="6">
        <v>9.8647058823529407E-2</v>
      </c>
      <c r="AH254" s="6">
        <v>0.79061764705882343</v>
      </c>
      <c r="AI254" s="6">
        <v>0.1474705882352941</v>
      </c>
      <c r="AJ254" s="6">
        <v>1.4850294117647056</v>
      </c>
    </row>
    <row r="255" spans="1:36" x14ac:dyDescent="0.25">
      <c r="A255" s="8" t="s">
        <v>321</v>
      </c>
      <c r="B255" s="27" t="s">
        <v>641</v>
      </c>
      <c r="C255" s="8" t="s">
        <v>261</v>
      </c>
      <c r="D255" s="8" t="s">
        <v>286</v>
      </c>
      <c r="E255" s="8">
        <v>6</v>
      </c>
      <c r="F255" s="7" t="s">
        <v>15</v>
      </c>
      <c r="G255" s="8" t="s">
        <v>1012</v>
      </c>
      <c r="H255" s="5">
        <f t="shared" si="3"/>
        <v>34.345999999999997</v>
      </c>
      <c r="I255" s="6">
        <v>8.2323529411764698E-2</v>
      </c>
      <c r="J255" s="6">
        <v>0.39032352941176468</v>
      </c>
      <c r="K255" s="6">
        <v>0.28658823529411764</v>
      </c>
      <c r="L255" s="6">
        <v>0</v>
      </c>
      <c r="M255" s="6">
        <v>0.14602941176470588</v>
      </c>
      <c r="N255" s="6">
        <v>6.6695294117647057</v>
      </c>
      <c r="O255" s="6">
        <v>0.35582352941176471</v>
      </c>
      <c r="P255" s="6">
        <v>0.20711764705882349</v>
      </c>
      <c r="Q255" s="6">
        <v>0.19364705882352939</v>
      </c>
      <c r="R255" s="6">
        <v>0.1979411764705882</v>
      </c>
      <c r="S255" s="16">
        <v>8.0211470588235283</v>
      </c>
      <c r="T255" s="16">
        <v>5.6058823529411765E-2</v>
      </c>
      <c r="U255" s="16">
        <v>4.1147058823529412E-2</v>
      </c>
      <c r="V255" s="6">
        <v>3.9283529411764699</v>
      </c>
      <c r="W255" s="6">
        <v>0.63444117647058818</v>
      </c>
      <c r="X255" s="6">
        <v>6.5077352941176461</v>
      </c>
      <c r="Y255" s="6">
        <v>4.2499999999999996E-2</v>
      </c>
      <c r="Z255" s="6">
        <v>0.14755882352941174</v>
      </c>
      <c r="AA255" s="6">
        <v>0.11161764705882352</v>
      </c>
      <c r="AB255" s="6">
        <v>7.8470588235294111E-2</v>
      </c>
      <c r="AC255" s="6">
        <v>4.4623235294117647</v>
      </c>
      <c r="AD255" s="6">
        <v>3.6205882352941171E-2</v>
      </c>
      <c r="AE255" s="6">
        <v>0.12441176470588233</v>
      </c>
      <c r="AF255" s="6">
        <v>7.1794117647058828E-2</v>
      </c>
      <c r="AG255" s="6">
        <v>3.9470588235294111E-2</v>
      </c>
      <c r="AH255" s="6">
        <v>0.5101470588235294</v>
      </c>
      <c r="AI255" s="6">
        <v>9.5558823529411752E-2</v>
      </c>
      <c r="AJ255" s="6">
        <v>0.90773529411764708</v>
      </c>
    </row>
    <row r="256" spans="1:36" x14ac:dyDescent="0.25">
      <c r="A256" s="7" t="s">
        <v>322</v>
      </c>
      <c r="B256" s="27" t="s">
        <v>642</v>
      </c>
      <c r="C256" s="7" t="s">
        <v>261</v>
      </c>
      <c r="D256" s="7" t="s">
        <v>288</v>
      </c>
      <c r="E256" s="7">
        <v>6</v>
      </c>
      <c r="F256" s="7" t="s">
        <v>15</v>
      </c>
      <c r="G256" s="8" t="s">
        <v>1012</v>
      </c>
      <c r="H256" s="5">
        <f t="shared" si="3"/>
        <v>73.264264705882312</v>
      </c>
      <c r="I256" s="6">
        <v>6.1529411764705881E-2</v>
      </c>
      <c r="J256" s="6">
        <v>0.371</v>
      </c>
      <c r="K256" s="6">
        <v>1.1761764705882352</v>
      </c>
      <c r="L256" s="6">
        <v>0</v>
      </c>
      <c r="M256" s="6">
        <v>0.16152941176470587</v>
      </c>
      <c r="N256" s="6">
        <v>16.271529411764707</v>
      </c>
      <c r="O256" s="6">
        <v>0.28714705882352937</v>
      </c>
      <c r="P256" s="6">
        <v>0.29714705882352938</v>
      </c>
      <c r="Q256" s="6">
        <v>3.3658529411764704</v>
      </c>
      <c r="R256" s="6">
        <v>0.17832352941176471</v>
      </c>
      <c r="S256" s="15">
        <v>7.9660000000000002</v>
      </c>
      <c r="T256" s="15">
        <v>2.9000000000000001E-2</v>
      </c>
      <c r="U256" s="15">
        <v>2.3E-2</v>
      </c>
      <c r="V256" s="6">
        <v>21.497323529411762</v>
      </c>
      <c r="W256" s="6">
        <v>1.6749999999999998</v>
      </c>
      <c r="X256" s="6">
        <v>12.310705882352941</v>
      </c>
      <c r="Y256" s="6">
        <v>6.2529411764705875E-2</v>
      </c>
      <c r="Z256" s="6">
        <v>0.41367647058823526</v>
      </c>
      <c r="AA256" s="6">
        <v>0.15652941176470589</v>
      </c>
      <c r="AB256" s="6">
        <v>0.2737941176470588</v>
      </c>
      <c r="AC256" s="6">
        <v>4.4905882352941173</v>
      </c>
      <c r="AD256" s="6">
        <v>3.1352941176470583E-2</v>
      </c>
      <c r="AE256" s="6">
        <v>0.12964705882352939</v>
      </c>
      <c r="AF256" s="6">
        <v>7.5764705882352942E-2</v>
      </c>
      <c r="AG256" s="6">
        <v>6.2176470588235284E-2</v>
      </c>
      <c r="AH256" s="6">
        <v>0.59076470588235297</v>
      </c>
      <c r="AI256" s="6">
        <v>0.10717647058823529</v>
      </c>
      <c r="AJ256" s="6">
        <v>1.1990000000000001</v>
      </c>
    </row>
    <row r="257" spans="1:36" x14ac:dyDescent="0.25">
      <c r="A257" s="7" t="s">
        <v>323</v>
      </c>
      <c r="B257" s="27" t="s">
        <v>643</v>
      </c>
      <c r="C257" s="7" t="s">
        <v>261</v>
      </c>
      <c r="D257" s="7" t="s">
        <v>290</v>
      </c>
      <c r="E257" s="7">
        <v>6</v>
      </c>
      <c r="F257" s="7" t="s">
        <v>15</v>
      </c>
      <c r="G257" s="8" t="s">
        <v>1012</v>
      </c>
      <c r="H257" s="5">
        <f t="shared" si="3"/>
        <v>118.46685294117647</v>
      </c>
      <c r="I257" s="6">
        <v>7.144117647058823E-2</v>
      </c>
      <c r="J257" s="6">
        <v>0.46723529411764703</v>
      </c>
      <c r="K257" s="6">
        <v>1.9058529411764702</v>
      </c>
      <c r="L257" s="6">
        <v>0</v>
      </c>
      <c r="M257" s="6">
        <v>0.22502941176470584</v>
      </c>
      <c r="N257" s="6">
        <v>27.808911764705883</v>
      </c>
      <c r="O257" s="6">
        <v>0.12417647058823529</v>
      </c>
      <c r="P257" s="6">
        <v>0.13605882352941176</v>
      </c>
      <c r="Q257" s="6">
        <v>4.7806764705882347</v>
      </c>
      <c r="R257" s="6">
        <v>0.30305882352941177</v>
      </c>
      <c r="S257" s="15">
        <v>12.919</v>
      </c>
      <c r="T257" s="15">
        <v>3.1E-2</v>
      </c>
      <c r="U257" s="15">
        <v>0.04</v>
      </c>
      <c r="V257" s="6">
        <v>33.231205882352938</v>
      </c>
      <c r="W257" s="6">
        <v>2.7824117647058819</v>
      </c>
      <c r="X257" s="6">
        <v>24.202941176470585</v>
      </c>
      <c r="Y257" s="6">
        <v>0.10264705882352941</v>
      </c>
      <c r="Z257" s="6">
        <v>0.86082352941176465</v>
      </c>
      <c r="AA257" s="6">
        <v>0.22747058823529412</v>
      </c>
      <c r="AB257" s="6">
        <v>0.66661764705882343</v>
      </c>
      <c r="AC257" s="6">
        <v>5.0246176470588226</v>
      </c>
      <c r="AD257" s="6">
        <v>3.6999999999999991E-2</v>
      </c>
      <c r="AE257" s="6">
        <v>0.16323529411764706</v>
      </c>
      <c r="AF257" s="6">
        <v>8.3294117647058824E-2</v>
      </c>
      <c r="AG257" s="6">
        <v>7.326470588235294E-2</v>
      </c>
      <c r="AH257" s="6">
        <v>0.69120588235294111</v>
      </c>
      <c r="AI257" s="6">
        <v>0.14470588235294116</v>
      </c>
      <c r="AJ257" s="6">
        <v>1.362970588235294</v>
      </c>
    </row>
    <row r="258" spans="1:36" x14ac:dyDescent="0.25">
      <c r="A258" s="7" t="s">
        <v>324</v>
      </c>
      <c r="B258" s="27" t="s">
        <v>644</v>
      </c>
      <c r="C258" s="7" t="s">
        <v>261</v>
      </c>
      <c r="D258" s="7" t="s">
        <v>292</v>
      </c>
      <c r="E258" s="7">
        <v>6</v>
      </c>
      <c r="F258" s="7" t="s">
        <v>15</v>
      </c>
      <c r="G258" s="8" t="s">
        <v>1012</v>
      </c>
      <c r="H258" s="5">
        <f t="shared" ref="H258:H321" si="4">SUM(I258:M258,N258:R258,S258:AJ258)</f>
        <v>65.178294117647056</v>
      </c>
      <c r="I258" s="6">
        <v>5.4411764705882347E-2</v>
      </c>
      <c r="J258" s="6">
        <v>0.32870588235294113</v>
      </c>
      <c r="K258" s="6">
        <v>0.76626470588235285</v>
      </c>
      <c r="L258" s="6">
        <v>0</v>
      </c>
      <c r="M258" s="6">
        <v>0.15829411764705881</v>
      </c>
      <c r="N258" s="6">
        <v>13.631411764705883</v>
      </c>
      <c r="O258" s="6">
        <v>0.44070588235294117</v>
      </c>
      <c r="P258" s="6">
        <v>0.54967647058823521</v>
      </c>
      <c r="Q258" s="6">
        <v>1.7885588235294116</v>
      </c>
      <c r="R258" s="6">
        <v>0.17920588235294116</v>
      </c>
      <c r="S258" s="15">
        <v>8.4589999999999996</v>
      </c>
      <c r="T258" s="15">
        <v>0.04</v>
      </c>
      <c r="U258" s="15">
        <v>5.0999999999999997E-2</v>
      </c>
      <c r="V258" s="6">
        <v>18.363294117647058</v>
      </c>
      <c r="W258" s="6">
        <v>1.4188235294117646</v>
      </c>
      <c r="X258" s="6">
        <v>11.244411764705882</v>
      </c>
      <c r="Y258" s="6">
        <v>6.388235294117646E-2</v>
      </c>
      <c r="Z258" s="6">
        <v>0.37832352941176467</v>
      </c>
      <c r="AA258" s="6">
        <v>0.16026470588235292</v>
      </c>
      <c r="AB258" s="6">
        <v>0.26955882352941174</v>
      </c>
      <c r="AC258" s="6">
        <v>4.6091176470588229</v>
      </c>
      <c r="AD258" s="6">
        <v>3.0588235294117642E-2</v>
      </c>
      <c r="AE258" s="6">
        <v>0.14561764705882352</v>
      </c>
      <c r="AF258" s="6">
        <v>7.929411764705882E-2</v>
      </c>
      <c r="AG258" s="6">
        <v>5.9852941176470581E-2</v>
      </c>
      <c r="AH258" s="6">
        <v>0.59991176470588237</v>
      </c>
      <c r="AI258" s="6">
        <v>0.12082352941176469</v>
      </c>
      <c r="AJ258" s="6">
        <v>1.1872941176470586</v>
      </c>
    </row>
    <row r="259" spans="1:36" x14ac:dyDescent="0.25">
      <c r="A259" s="7" t="s">
        <v>325</v>
      </c>
      <c r="B259" s="27" t="s">
        <v>645</v>
      </c>
      <c r="C259" s="7" t="s">
        <v>261</v>
      </c>
      <c r="D259" s="7" t="s">
        <v>262</v>
      </c>
      <c r="E259" s="7">
        <v>0</v>
      </c>
      <c r="F259" s="7" t="s">
        <v>16</v>
      </c>
      <c r="G259" s="8" t="s">
        <v>1012</v>
      </c>
      <c r="H259" s="5">
        <f t="shared" si="4"/>
        <v>88.187441176470571</v>
      </c>
      <c r="I259" s="6">
        <v>7.3764705882352941E-2</v>
      </c>
      <c r="J259" s="6">
        <v>0.34408823529411758</v>
      </c>
      <c r="K259" s="6">
        <v>1.2471176470588234</v>
      </c>
      <c r="L259" s="6">
        <v>0</v>
      </c>
      <c r="M259" s="6">
        <v>0.14920588235294116</v>
      </c>
      <c r="N259" s="6">
        <v>22.851470588235291</v>
      </c>
      <c r="O259" s="6">
        <v>0</v>
      </c>
      <c r="P259" s="6">
        <v>0</v>
      </c>
      <c r="Q259" s="6">
        <v>3.6289411764705881</v>
      </c>
      <c r="R259" s="6">
        <v>0.22847058823529409</v>
      </c>
      <c r="S259" s="15">
        <v>10.39</v>
      </c>
      <c r="T259" s="15">
        <v>0</v>
      </c>
      <c r="U259" s="15">
        <v>0</v>
      </c>
      <c r="V259" s="6">
        <v>18.522382352941175</v>
      </c>
      <c r="W259" s="6">
        <v>1.6519117647058821</v>
      </c>
      <c r="X259" s="6">
        <v>19.593235294117644</v>
      </c>
      <c r="Y259" s="6">
        <v>0.12229411764705882</v>
      </c>
      <c r="Z259" s="6">
        <v>0.69167647058823523</v>
      </c>
      <c r="AA259" s="6">
        <v>0.15361764705882353</v>
      </c>
      <c r="AB259" s="6">
        <v>0.34823529411764703</v>
      </c>
      <c r="AC259" s="6">
        <v>5.7889705882352942</v>
      </c>
      <c r="AD259" s="6">
        <v>1.8735294117647058E-2</v>
      </c>
      <c r="AE259" s="6">
        <v>0.14158823529411765</v>
      </c>
      <c r="AF259" s="6">
        <v>0.11488235294117645</v>
      </c>
      <c r="AG259" s="6">
        <v>5.579411764705882E-2</v>
      </c>
      <c r="AH259" s="6">
        <v>0.54967647058823521</v>
      </c>
      <c r="AI259" s="6">
        <v>9.144117647058822E-2</v>
      </c>
      <c r="AJ259" s="6">
        <v>1.429941176470588</v>
      </c>
    </row>
    <row r="260" spans="1:36" x14ac:dyDescent="0.25">
      <c r="A260" s="8" t="s">
        <v>326</v>
      </c>
      <c r="B260" s="27" t="s">
        <v>646</v>
      </c>
      <c r="C260" s="8" t="s">
        <v>261</v>
      </c>
      <c r="D260" s="8" t="s">
        <v>264</v>
      </c>
      <c r="E260" s="8">
        <v>1</v>
      </c>
      <c r="F260" s="8" t="s">
        <v>16</v>
      </c>
      <c r="G260" s="8" t="s">
        <v>1012</v>
      </c>
      <c r="H260" s="5">
        <f t="shared" si="4"/>
        <v>328.1272647058824</v>
      </c>
      <c r="I260" s="6">
        <v>0.2198235294117647</v>
      </c>
      <c r="J260" s="6">
        <v>0.88864705882352935</v>
      </c>
      <c r="K260" s="6">
        <v>4.3439411764705875</v>
      </c>
      <c r="L260" s="6">
        <v>0</v>
      </c>
      <c r="M260" s="6">
        <v>0.69723529411764695</v>
      </c>
      <c r="N260" s="6">
        <v>82.678558823529414</v>
      </c>
      <c r="O260" s="6">
        <v>0.48511764705882349</v>
      </c>
      <c r="P260" s="6">
        <v>0.97958823529411765</v>
      </c>
      <c r="Q260" s="6">
        <v>16.23576470588235</v>
      </c>
      <c r="R260" s="6">
        <v>0.88941176470588224</v>
      </c>
      <c r="S260" s="16">
        <v>28.373117647058823</v>
      </c>
      <c r="T260" s="16">
        <v>0</v>
      </c>
      <c r="U260" s="16">
        <v>5.2941176470588231E-4</v>
      </c>
      <c r="V260" s="6">
        <v>75.420352941176461</v>
      </c>
      <c r="W260" s="6">
        <v>6.8798529411764706</v>
      </c>
      <c r="X260" s="6">
        <v>84.70273529411763</v>
      </c>
      <c r="Y260" s="6">
        <v>0.31788235294117645</v>
      </c>
      <c r="Z260" s="6">
        <v>3.6050588235294114</v>
      </c>
      <c r="AA260" s="6">
        <v>0.5673529411764705</v>
      </c>
      <c r="AB260" s="6">
        <v>1.771441176470588</v>
      </c>
      <c r="AC260" s="6">
        <v>13.656735294117647</v>
      </c>
      <c r="AD260" s="6">
        <v>5.1911764705882345E-2</v>
      </c>
      <c r="AE260" s="6">
        <v>0.38658823529411762</v>
      </c>
      <c r="AF260" s="6">
        <v>0.22714705882352937</v>
      </c>
      <c r="AG260" s="6">
        <v>0.15467647058823528</v>
      </c>
      <c r="AH260" s="6">
        <v>1.3456176470588233</v>
      </c>
      <c r="AI260" s="6">
        <v>0.23432352941176471</v>
      </c>
      <c r="AJ260" s="6">
        <v>3.0138529411764705</v>
      </c>
    </row>
    <row r="261" spans="1:36" x14ac:dyDescent="0.25">
      <c r="A261" s="8" t="s">
        <v>327</v>
      </c>
      <c r="B261" s="27" t="s">
        <v>647</v>
      </c>
      <c r="C261" s="8" t="s">
        <v>261</v>
      </c>
      <c r="D261" s="8" t="s">
        <v>266</v>
      </c>
      <c r="E261" s="8">
        <v>1</v>
      </c>
      <c r="F261" s="8" t="s">
        <v>16</v>
      </c>
      <c r="G261" s="8" t="s">
        <v>1012</v>
      </c>
      <c r="H261" s="5">
        <f t="shared" si="4"/>
        <v>326.69249999999982</v>
      </c>
      <c r="I261" s="6">
        <v>0.1891176470588235</v>
      </c>
      <c r="J261" s="6">
        <v>0.66458823529411759</v>
      </c>
      <c r="K261" s="6">
        <v>1.1489705882352941</v>
      </c>
      <c r="L261" s="6">
        <v>0</v>
      </c>
      <c r="M261" s="6">
        <v>0.35402941176470587</v>
      </c>
      <c r="N261" s="6">
        <v>51.654000000000003</v>
      </c>
      <c r="O261" s="6">
        <v>3.3206764705882348</v>
      </c>
      <c r="P261" s="6">
        <v>8.0580294117647053</v>
      </c>
      <c r="Q261" s="6">
        <v>3.5386176470588233</v>
      </c>
      <c r="R261" s="6">
        <v>0.5475882352941176</v>
      </c>
      <c r="S261" s="16">
        <v>25.557058823529406</v>
      </c>
      <c r="T261" s="16">
        <v>0</v>
      </c>
      <c r="U261" s="16">
        <v>0</v>
      </c>
      <c r="V261" s="6">
        <v>167.61649999999997</v>
      </c>
      <c r="W261" s="6">
        <v>7.1031176470588226</v>
      </c>
      <c r="X261" s="6">
        <v>33.89726470588235</v>
      </c>
      <c r="Y261" s="6">
        <v>0.12776470588235292</v>
      </c>
      <c r="Z261" s="6">
        <v>1.7510588235294116</v>
      </c>
      <c r="AA261" s="6">
        <v>0.86211764705882343</v>
      </c>
      <c r="AB261" s="6">
        <v>0.75329411764705878</v>
      </c>
      <c r="AC261" s="6">
        <v>14.267676470588233</v>
      </c>
      <c r="AD261" s="6">
        <v>1.6764705882352942E-2</v>
      </c>
      <c r="AE261" s="6">
        <v>0.44479411764705878</v>
      </c>
      <c r="AF261" s="6">
        <v>0.13882352941176468</v>
      </c>
      <c r="AG261" s="6">
        <v>9.1999999999999998E-2</v>
      </c>
      <c r="AH261" s="6">
        <v>1.2288529411764706</v>
      </c>
      <c r="AI261" s="6">
        <v>0.19691176470588231</v>
      </c>
      <c r="AJ261" s="6">
        <v>3.162882352941176</v>
      </c>
    </row>
    <row r="262" spans="1:36" x14ac:dyDescent="0.25">
      <c r="A262" s="7" t="s">
        <v>328</v>
      </c>
      <c r="B262" s="27" t="s">
        <v>648</v>
      </c>
      <c r="C262" s="7" t="s">
        <v>261</v>
      </c>
      <c r="D262" s="7" t="s">
        <v>268</v>
      </c>
      <c r="E262" s="7">
        <v>1</v>
      </c>
      <c r="F262" s="7" t="s">
        <v>16</v>
      </c>
      <c r="G262" s="8" t="s">
        <v>1012</v>
      </c>
      <c r="H262" s="5">
        <f t="shared" si="4"/>
        <v>135.32411764705884</v>
      </c>
      <c r="I262" s="6">
        <v>3.1323529411764701E-2</v>
      </c>
      <c r="J262" s="6">
        <v>0.25264705882352939</v>
      </c>
      <c r="K262" s="6">
        <v>0.21364705882352938</v>
      </c>
      <c r="L262" s="6">
        <v>0</v>
      </c>
      <c r="M262" s="6">
        <v>8.7676470588235286E-2</v>
      </c>
      <c r="N262" s="6">
        <v>17.782941176470587</v>
      </c>
      <c r="O262" s="6">
        <v>0.99388235294117644</v>
      </c>
      <c r="P262" s="6">
        <v>3.4526176470588235</v>
      </c>
      <c r="Q262" s="6">
        <v>0.9765588235294117</v>
      </c>
      <c r="R262" s="6">
        <v>0.18326470588235291</v>
      </c>
      <c r="S262" s="15">
        <v>9.8130000000000006</v>
      </c>
      <c r="T262" s="15">
        <v>0</v>
      </c>
      <c r="U262" s="15">
        <v>0</v>
      </c>
      <c r="V262" s="6">
        <v>74.959029411764703</v>
      </c>
      <c r="W262" s="6">
        <v>3.29</v>
      </c>
      <c r="X262" s="6">
        <v>14.787000000000001</v>
      </c>
      <c r="Y262" s="6">
        <v>5.5529411764705883E-2</v>
      </c>
      <c r="Z262" s="6">
        <v>0.70476470588235285</v>
      </c>
      <c r="AA262" s="6">
        <v>0.38008823529411767</v>
      </c>
      <c r="AB262" s="6">
        <v>0.29123529411764704</v>
      </c>
      <c r="AC262" s="6">
        <v>5.1517058823529407</v>
      </c>
      <c r="AD262" s="6">
        <v>8.4411764705882349E-3</v>
      </c>
      <c r="AE262" s="6">
        <v>0.18823529411764706</v>
      </c>
      <c r="AF262" s="6">
        <v>9.6205882352941183E-2</v>
      </c>
      <c r="AG262" s="6">
        <v>2.829411764705882E-2</v>
      </c>
      <c r="AH262" s="6">
        <v>0.34708823529411764</v>
      </c>
      <c r="AI262" s="6">
        <v>6.670588235294117E-2</v>
      </c>
      <c r="AJ262" s="6">
        <v>1.1822352941176468</v>
      </c>
    </row>
    <row r="263" spans="1:36" x14ac:dyDescent="0.25">
      <c r="A263" s="7" t="s">
        <v>329</v>
      </c>
      <c r="B263" s="27" t="s">
        <v>649</v>
      </c>
      <c r="C263" s="7" t="s">
        <v>261</v>
      </c>
      <c r="D263" s="7" t="s">
        <v>270</v>
      </c>
      <c r="E263" s="7">
        <v>1</v>
      </c>
      <c r="F263" s="7" t="s">
        <v>16</v>
      </c>
      <c r="G263" s="8" t="s">
        <v>1012</v>
      </c>
      <c r="H263" s="5">
        <f t="shared" si="4"/>
        <v>183.91044117647058</v>
      </c>
      <c r="I263" s="6">
        <v>3.6852941176470581E-2</v>
      </c>
      <c r="J263" s="6">
        <v>0.26694117647058818</v>
      </c>
      <c r="K263" s="6">
        <v>0.23902941176470585</v>
      </c>
      <c r="L263" s="6">
        <v>0</v>
      </c>
      <c r="M263" s="6">
        <v>0.10455882352941175</v>
      </c>
      <c r="N263" s="6">
        <v>24.539941176470585</v>
      </c>
      <c r="O263" s="6">
        <v>1.8177941176470587</v>
      </c>
      <c r="P263" s="6">
        <v>4.8494117647058825</v>
      </c>
      <c r="Q263" s="6">
        <v>1.3803235294117646</v>
      </c>
      <c r="R263" s="6">
        <v>0.21499999999999997</v>
      </c>
      <c r="S263" s="15">
        <v>9.4459999999999997</v>
      </c>
      <c r="T263" s="15">
        <v>0</v>
      </c>
      <c r="U263" s="15">
        <v>0</v>
      </c>
      <c r="V263" s="6">
        <v>108.84373529411764</v>
      </c>
      <c r="W263" s="6">
        <v>4.3253235294117642</v>
      </c>
      <c r="X263" s="6">
        <v>20.641176470588235</v>
      </c>
      <c r="Y263" s="6">
        <v>6.8617647058823519E-2</v>
      </c>
      <c r="Z263" s="6">
        <v>1.2562647058823528</v>
      </c>
      <c r="AA263" s="6">
        <v>0.53738235294117642</v>
      </c>
      <c r="AB263" s="6">
        <v>0.60052941176470587</v>
      </c>
      <c r="AC263" s="6">
        <v>3.2292941176470586</v>
      </c>
      <c r="AD263" s="6">
        <v>5.4117647058823529E-3</v>
      </c>
      <c r="AE263" s="6">
        <v>0.21735294117647055</v>
      </c>
      <c r="AF263" s="6">
        <v>5.3617647058823527E-2</v>
      </c>
      <c r="AG263" s="6">
        <v>5.3676470588235284E-2</v>
      </c>
      <c r="AH263" s="6">
        <v>0.25035294117647056</v>
      </c>
      <c r="AI263" s="6">
        <v>5.2941176470588228E-2</v>
      </c>
      <c r="AJ263" s="6">
        <v>0.87891176470588228</v>
      </c>
    </row>
    <row r="264" spans="1:36" x14ac:dyDescent="0.25">
      <c r="A264" s="7" t="s">
        <v>330</v>
      </c>
      <c r="B264" s="27" t="s">
        <v>650</v>
      </c>
      <c r="C264" s="7" t="s">
        <v>261</v>
      </c>
      <c r="D264" s="7" t="s">
        <v>272</v>
      </c>
      <c r="E264" s="7">
        <v>1</v>
      </c>
      <c r="F264" s="7" t="s">
        <v>16</v>
      </c>
      <c r="G264" s="8" t="s">
        <v>1012</v>
      </c>
      <c r="H264" s="5">
        <f t="shared" si="4"/>
        <v>173.28067647058825</v>
      </c>
      <c r="I264" s="6">
        <v>3.3705882352941176E-2</v>
      </c>
      <c r="J264" s="6">
        <v>0.25961764705882351</v>
      </c>
      <c r="K264" s="6">
        <v>0.22408823529411762</v>
      </c>
      <c r="L264" s="6">
        <v>0</v>
      </c>
      <c r="M264" s="6">
        <v>0.12802941176470586</v>
      </c>
      <c r="N264" s="6">
        <v>23.816529411764702</v>
      </c>
      <c r="O264" s="6">
        <v>2.534176470588235</v>
      </c>
      <c r="P264" s="6">
        <v>4.8021176470588234</v>
      </c>
      <c r="Q264" s="6">
        <v>1.2509999999999999</v>
      </c>
      <c r="R264" s="6">
        <v>0.25176470588235289</v>
      </c>
      <c r="S264" s="15">
        <v>11.151</v>
      </c>
      <c r="T264" s="15">
        <v>0</v>
      </c>
      <c r="U264" s="15">
        <v>0</v>
      </c>
      <c r="V264" s="6">
        <v>97.861999999999995</v>
      </c>
      <c r="W264" s="6">
        <v>4.1046764705882355</v>
      </c>
      <c r="X264" s="6">
        <v>17.202970588235292</v>
      </c>
      <c r="Y264" s="6">
        <v>6.9029411764705881E-2</v>
      </c>
      <c r="Z264" s="6">
        <v>0.84829411764705875</v>
      </c>
      <c r="AA264" s="6">
        <v>0.55091176470588232</v>
      </c>
      <c r="AB264" s="6">
        <v>0.44994117647058823</v>
      </c>
      <c r="AC264" s="6">
        <v>5.6443235294117642</v>
      </c>
      <c r="AD264" s="6">
        <v>7.2647058823529405E-3</v>
      </c>
      <c r="AE264" s="6">
        <v>0.22788235294117642</v>
      </c>
      <c r="AF264" s="6">
        <v>8.3882352941176463E-2</v>
      </c>
      <c r="AG264" s="6">
        <v>3.6588235294117644E-2</v>
      </c>
      <c r="AH264" s="6">
        <v>0.37120588235294111</v>
      </c>
      <c r="AI264" s="6">
        <v>6.4764705882352946E-2</v>
      </c>
      <c r="AJ264" s="6">
        <v>1.3049117647058823</v>
      </c>
    </row>
    <row r="265" spans="1:36" x14ac:dyDescent="0.25">
      <c r="A265" s="8" t="s">
        <v>331</v>
      </c>
      <c r="B265" s="27" t="s">
        <v>651</v>
      </c>
      <c r="C265" s="8" t="s">
        <v>261</v>
      </c>
      <c r="D265" s="8" t="s">
        <v>274</v>
      </c>
      <c r="E265" s="8">
        <v>2</v>
      </c>
      <c r="F265" s="7" t="s">
        <v>16</v>
      </c>
      <c r="G265" s="8" t="s">
        <v>1012</v>
      </c>
      <c r="H265" s="5">
        <f t="shared" si="4"/>
        <v>309.77073529411763</v>
      </c>
      <c r="I265" s="6">
        <v>0.18499999999999997</v>
      </c>
      <c r="J265" s="6">
        <v>0.71461764705882347</v>
      </c>
      <c r="K265" s="6">
        <v>2.3219705882352941</v>
      </c>
      <c r="L265" s="6">
        <v>0</v>
      </c>
      <c r="M265" s="6">
        <v>0.39223529411764707</v>
      </c>
      <c r="N265" s="6">
        <v>57.822441176470583</v>
      </c>
      <c r="O265" s="6">
        <v>2.0596176470588232</v>
      </c>
      <c r="P265" s="6">
        <v>5.0147058823529411</v>
      </c>
      <c r="Q265" s="6">
        <v>5.7677058823529403</v>
      </c>
      <c r="R265" s="6">
        <v>0.64170588235294113</v>
      </c>
      <c r="S265" s="16">
        <v>29.570264705882352</v>
      </c>
      <c r="T265" s="16">
        <v>2.6882352941176468E-2</v>
      </c>
      <c r="U265" s="16">
        <v>8.4264705882352936E-2</v>
      </c>
      <c r="V265" s="6">
        <v>128.82311764705881</v>
      </c>
      <c r="W265" s="6">
        <v>6.730999999999999</v>
      </c>
      <c r="X265" s="6">
        <v>43.364823529411758</v>
      </c>
      <c r="Y265" s="6">
        <v>0.17835294117647058</v>
      </c>
      <c r="Z265" s="6">
        <v>1.8553823529411764</v>
      </c>
      <c r="AA265" s="6">
        <v>0.67273529411764699</v>
      </c>
      <c r="AB265" s="6">
        <v>0.95420588235294113</v>
      </c>
      <c r="AC265" s="6">
        <v>16.419823529411765</v>
      </c>
      <c r="AD265" s="6">
        <v>3.4882352941176469E-2</v>
      </c>
      <c r="AE265" s="6">
        <v>0.43573529411764705</v>
      </c>
      <c r="AF265" s="6">
        <v>0.16982352941176468</v>
      </c>
      <c r="AG265" s="6">
        <v>9.9323529411764699E-2</v>
      </c>
      <c r="AH265" s="6">
        <v>1.5616764705882353</v>
      </c>
      <c r="AI265" s="6">
        <v>0.25688235294117645</v>
      </c>
      <c r="AJ265" s="6">
        <v>3.6115588235294114</v>
      </c>
    </row>
    <row r="266" spans="1:36" x14ac:dyDescent="0.25">
      <c r="A266" s="8" t="s">
        <v>332</v>
      </c>
      <c r="B266" s="27" t="s">
        <v>652</v>
      </c>
      <c r="C266" s="8" t="s">
        <v>261</v>
      </c>
      <c r="D266" s="8" t="s">
        <v>276</v>
      </c>
      <c r="E266" s="8">
        <v>2</v>
      </c>
      <c r="F266" s="7" t="s">
        <v>16</v>
      </c>
      <c r="G266" s="8" t="s">
        <v>1012</v>
      </c>
      <c r="H266" s="5">
        <f t="shared" si="4"/>
        <v>435.94549999999992</v>
      </c>
      <c r="I266" s="6">
        <v>0.23776470588235291</v>
      </c>
      <c r="J266" s="6">
        <v>0.96976470588235286</v>
      </c>
      <c r="K266" s="6">
        <v>4.9571470588235291</v>
      </c>
      <c r="L266" s="6">
        <v>0</v>
      </c>
      <c r="M266" s="6">
        <v>0.77049999999999985</v>
      </c>
      <c r="N266" s="6">
        <v>85.180970588235283</v>
      </c>
      <c r="O266" s="6">
        <v>6.4669999999999996</v>
      </c>
      <c r="P266" s="6">
        <v>6.9994411764705875</v>
      </c>
      <c r="Q266" s="6">
        <v>19.71014705882353</v>
      </c>
      <c r="R266" s="6">
        <v>0.942970588235294</v>
      </c>
      <c r="S266" s="16">
        <v>27.687882352941177</v>
      </c>
      <c r="T266" s="16">
        <v>6.0058823529411762E-2</v>
      </c>
      <c r="U266" s="16">
        <v>5.1794117647058824E-2</v>
      </c>
      <c r="V266" s="6">
        <v>169.7535294117647</v>
      </c>
      <c r="W266" s="6">
        <v>10.966970588235293</v>
      </c>
      <c r="X266" s="6">
        <v>76.995352941176463</v>
      </c>
      <c r="Y266" s="6">
        <v>0.20255882352941176</v>
      </c>
      <c r="Z266" s="6">
        <v>4.1049117647058821</v>
      </c>
      <c r="AA266" s="6">
        <v>0.80155882352941166</v>
      </c>
      <c r="AB266" s="6">
        <v>1.6784999999999999</v>
      </c>
      <c r="AC266" s="6">
        <v>12.393529411764705</v>
      </c>
      <c r="AD266" s="6">
        <v>7.3294117647058815E-2</v>
      </c>
      <c r="AE266" s="6">
        <v>0.40173529411764697</v>
      </c>
      <c r="AF266" s="6">
        <v>0.18923529411764703</v>
      </c>
      <c r="AG266" s="6">
        <v>0.15311764705882352</v>
      </c>
      <c r="AH266" s="6">
        <v>1.2414705882352939</v>
      </c>
      <c r="AI266" s="6">
        <v>0.21744117647058819</v>
      </c>
      <c r="AJ266" s="6">
        <v>2.7368529411764704</v>
      </c>
    </row>
    <row r="267" spans="1:36" x14ac:dyDescent="0.25">
      <c r="A267" s="7" t="s">
        <v>333</v>
      </c>
      <c r="B267" s="27" t="s">
        <v>653</v>
      </c>
      <c r="C267" s="7" t="s">
        <v>261</v>
      </c>
      <c r="D267" s="7" t="s">
        <v>278</v>
      </c>
      <c r="E267" s="7">
        <v>2</v>
      </c>
      <c r="F267" s="7" t="s">
        <v>16</v>
      </c>
      <c r="G267" s="8" t="s">
        <v>1012</v>
      </c>
      <c r="H267" s="5">
        <f t="shared" si="4"/>
        <v>86.590058823529404</v>
      </c>
      <c r="I267" s="6">
        <v>4.3676470588235289E-2</v>
      </c>
      <c r="J267" s="6">
        <v>0.32249999999999995</v>
      </c>
      <c r="K267" s="6">
        <v>1.1483823529411765</v>
      </c>
      <c r="L267" s="6">
        <v>0</v>
      </c>
      <c r="M267" s="6">
        <v>0.18455882352941175</v>
      </c>
      <c r="N267" s="6">
        <v>19.640294117647056</v>
      </c>
      <c r="O267" s="6">
        <v>8.6999999999999994E-2</v>
      </c>
      <c r="P267" s="6">
        <v>7.9735294117647043E-2</v>
      </c>
      <c r="Q267" s="6">
        <v>3.0614117647058823</v>
      </c>
      <c r="R267" s="6">
        <v>0.27202941176470585</v>
      </c>
      <c r="S267" s="15">
        <v>7.931</v>
      </c>
      <c r="T267" s="15">
        <v>0</v>
      </c>
      <c r="U267" s="15">
        <v>0</v>
      </c>
      <c r="V267" s="6">
        <v>19.828941176470586</v>
      </c>
      <c r="W267" s="6">
        <v>1.7180882352941174</v>
      </c>
      <c r="X267" s="6">
        <v>25.078705882352939</v>
      </c>
      <c r="Y267" s="6">
        <v>8.3235294117647046E-2</v>
      </c>
      <c r="Z267" s="6">
        <v>0.86935294117647055</v>
      </c>
      <c r="AA267" s="6">
        <v>0.18332352941176469</v>
      </c>
      <c r="AB267" s="6">
        <v>0.67455882352941166</v>
      </c>
      <c r="AC267" s="6">
        <v>3.5557941176470589</v>
      </c>
      <c r="AD267" s="6">
        <v>1.338235294117647E-2</v>
      </c>
      <c r="AE267" s="6">
        <v>0.13635294117647057</v>
      </c>
      <c r="AF267" s="6">
        <v>4.8411764705882349E-2</v>
      </c>
      <c r="AG267" s="6">
        <v>6.5617647058823531E-2</v>
      </c>
      <c r="AH267" s="6">
        <v>0.39949999999999997</v>
      </c>
      <c r="AI267" s="6">
        <v>7.1999999999999995E-2</v>
      </c>
      <c r="AJ267" s="6">
        <v>1.092205882352941</v>
      </c>
    </row>
    <row r="268" spans="1:36" x14ac:dyDescent="0.25">
      <c r="A268" s="7" t="s">
        <v>334</v>
      </c>
      <c r="B268" s="27" t="s">
        <v>654</v>
      </c>
      <c r="C268" s="7" t="s">
        <v>261</v>
      </c>
      <c r="D268" s="7" t="s">
        <v>280</v>
      </c>
      <c r="E268" s="7">
        <v>2</v>
      </c>
      <c r="F268" s="7" t="s">
        <v>16</v>
      </c>
      <c r="G268" s="8" t="s">
        <v>1012</v>
      </c>
      <c r="H268" s="5">
        <f t="shared" si="4"/>
        <v>161.93808823529412</v>
      </c>
      <c r="I268" s="6">
        <v>4.058823529411764E-2</v>
      </c>
      <c r="J268" s="6">
        <v>0.30352941176470588</v>
      </c>
      <c r="K268" s="6">
        <v>0.46699999999999997</v>
      </c>
      <c r="L268" s="6">
        <v>0</v>
      </c>
      <c r="M268" s="6">
        <v>0.12779411764705881</v>
      </c>
      <c r="N268" s="6">
        <v>23.290294117647058</v>
      </c>
      <c r="O268" s="6">
        <v>2.1673529411764703</v>
      </c>
      <c r="P268" s="6">
        <v>4.2131764705882349</v>
      </c>
      <c r="Q268" s="6">
        <v>1.6603823529411763</v>
      </c>
      <c r="R268" s="6">
        <v>0.2024705882352941</v>
      </c>
      <c r="S268" s="15">
        <v>10.696</v>
      </c>
      <c r="T268" s="15">
        <v>0</v>
      </c>
      <c r="U268" s="15">
        <v>0</v>
      </c>
      <c r="V268" s="6">
        <v>89.187764705882344</v>
      </c>
      <c r="W268" s="6">
        <v>4.1639117647058814</v>
      </c>
      <c r="X268" s="6">
        <v>15.399117647058821</v>
      </c>
      <c r="Y268" s="6">
        <v>7.3235294117647051E-2</v>
      </c>
      <c r="Z268" s="6">
        <v>0.79723529411764704</v>
      </c>
      <c r="AA268" s="6">
        <v>0.53558823529411759</v>
      </c>
      <c r="AB268" s="6">
        <v>0.47499999999999998</v>
      </c>
      <c r="AC268" s="6">
        <v>5.7641764705882341</v>
      </c>
      <c r="AD268" s="6">
        <v>7.8529411764705886E-3</v>
      </c>
      <c r="AE268" s="6">
        <v>0.23970588235294116</v>
      </c>
      <c r="AF268" s="6">
        <v>6.7264705882352935E-2</v>
      </c>
      <c r="AG268" s="6">
        <v>4.176470588235294E-2</v>
      </c>
      <c r="AH268" s="6">
        <v>0.52402941176470585</v>
      </c>
      <c r="AI268" s="6">
        <v>8.43235294117647E-2</v>
      </c>
      <c r="AJ268" s="6">
        <v>1.4085294117647058</v>
      </c>
    </row>
    <row r="269" spans="1:36" x14ac:dyDescent="0.25">
      <c r="A269" s="7" t="s">
        <v>335</v>
      </c>
      <c r="B269" s="27" t="s">
        <v>655</v>
      </c>
      <c r="C269" s="7" t="s">
        <v>261</v>
      </c>
      <c r="D269" s="7" t="s">
        <v>282</v>
      </c>
      <c r="E269" s="7">
        <v>2</v>
      </c>
      <c r="F269" s="7" t="s">
        <v>16</v>
      </c>
      <c r="G269" s="8" t="s">
        <v>1012</v>
      </c>
      <c r="H269" s="5">
        <f t="shared" si="4"/>
        <v>133.07188235294115</v>
      </c>
      <c r="I269" s="6">
        <v>4.3764705882352942E-2</v>
      </c>
      <c r="J269" s="6">
        <v>0.31576470588235289</v>
      </c>
      <c r="K269" s="6">
        <v>0.75629411764705867</v>
      </c>
      <c r="L269" s="6">
        <v>0</v>
      </c>
      <c r="M269" s="6">
        <v>0.14176470588235293</v>
      </c>
      <c r="N269" s="6">
        <v>22.386117647058821</v>
      </c>
      <c r="O269" s="6">
        <v>1.7168823529411765</v>
      </c>
      <c r="P269" s="6">
        <v>3.1400294117647056</v>
      </c>
      <c r="Q269" s="6">
        <v>2.0640294117647056</v>
      </c>
      <c r="R269" s="6">
        <v>0.22891176470588231</v>
      </c>
      <c r="S269" s="15">
        <v>11.349</v>
      </c>
      <c r="T269" s="15">
        <v>0</v>
      </c>
      <c r="U269" s="15">
        <v>0</v>
      </c>
      <c r="V269" s="6">
        <v>60.253735294117647</v>
      </c>
      <c r="W269" s="6">
        <v>3.2049411764705877</v>
      </c>
      <c r="X269" s="6">
        <v>16.841852941176469</v>
      </c>
      <c r="Y269" s="6">
        <v>8.7323529411764703E-2</v>
      </c>
      <c r="Z269" s="6">
        <v>0.68341176470588239</v>
      </c>
      <c r="AA269" s="6">
        <v>0.35926470588235287</v>
      </c>
      <c r="AB269" s="6">
        <v>0.38317647058823529</v>
      </c>
      <c r="AC269" s="6">
        <v>6.5874999999999995</v>
      </c>
      <c r="AD269" s="6">
        <v>9.8235294117647049E-3</v>
      </c>
      <c r="AE269" s="6">
        <v>0.20538235294117646</v>
      </c>
      <c r="AF269" s="6">
        <v>7.8735294117647042E-2</v>
      </c>
      <c r="AG269" s="6">
        <v>3.8294117647058819E-2</v>
      </c>
      <c r="AH269" s="6">
        <v>0.52558823529411758</v>
      </c>
      <c r="AI269" s="6">
        <v>8.8411764705882342E-2</v>
      </c>
      <c r="AJ269" s="6">
        <v>1.5818823529411763</v>
      </c>
    </row>
    <row r="270" spans="1:36" x14ac:dyDescent="0.25">
      <c r="A270" s="8" t="s">
        <v>336</v>
      </c>
      <c r="B270" s="27" t="s">
        <v>656</v>
      </c>
      <c r="C270" s="8" t="s">
        <v>261</v>
      </c>
      <c r="D270" s="8" t="s">
        <v>284</v>
      </c>
      <c r="E270" s="8">
        <v>6</v>
      </c>
      <c r="F270" s="7" t="s">
        <v>16</v>
      </c>
      <c r="G270" s="8" t="s">
        <v>1012</v>
      </c>
      <c r="H270" s="5">
        <f t="shared" si="4"/>
        <v>191.24326470588232</v>
      </c>
      <c r="I270" s="6">
        <v>0.20288235294117646</v>
      </c>
      <c r="J270" s="6">
        <v>0.84199999999999986</v>
      </c>
      <c r="K270" s="6">
        <v>2.8612352941176469</v>
      </c>
      <c r="L270" s="6">
        <v>0</v>
      </c>
      <c r="M270" s="6">
        <v>0.42329411764705877</v>
      </c>
      <c r="N270" s="6">
        <v>48.357735294117646</v>
      </c>
      <c r="O270" s="6">
        <v>0.22673529411764706</v>
      </c>
      <c r="P270" s="6">
        <v>0.50367647058823528</v>
      </c>
      <c r="Q270" s="6">
        <v>7.3104117647058811</v>
      </c>
      <c r="R270" s="6">
        <v>0.56920588235294112</v>
      </c>
      <c r="S270" s="16">
        <v>23.775882352941174</v>
      </c>
      <c r="T270" s="16">
        <v>4.9323529411764704E-2</v>
      </c>
      <c r="U270" s="16">
        <v>0.13276470588235292</v>
      </c>
      <c r="V270" s="6">
        <v>37.794147058823526</v>
      </c>
      <c r="W270" s="6">
        <v>3.8135588235294118</v>
      </c>
      <c r="X270" s="6">
        <v>41.747823529411761</v>
      </c>
      <c r="Y270" s="6">
        <v>0.21132352941176469</v>
      </c>
      <c r="Z270" s="6">
        <v>1.6443823529411763</v>
      </c>
      <c r="AA270" s="6">
        <v>0.42511764705882349</v>
      </c>
      <c r="AB270" s="6">
        <v>0.93111764705882338</v>
      </c>
      <c r="AC270" s="6">
        <v>13.684999999999999</v>
      </c>
      <c r="AD270" s="6">
        <v>4.5058823529411762E-2</v>
      </c>
      <c r="AE270" s="6">
        <v>0.37061764705882355</v>
      </c>
      <c r="AF270" s="6">
        <v>0.18685294117647058</v>
      </c>
      <c r="AG270" s="6">
        <v>0.1384705882352941</v>
      </c>
      <c r="AH270" s="6">
        <v>1.5394999999999996</v>
      </c>
      <c r="AI270" s="6">
        <v>0.27897058823529408</v>
      </c>
      <c r="AJ270" s="6">
        <v>3.1761764705882354</v>
      </c>
    </row>
    <row r="271" spans="1:36" x14ac:dyDescent="0.25">
      <c r="A271" s="8" t="s">
        <v>337</v>
      </c>
      <c r="B271" s="27" t="s">
        <v>657</v>
      </c>
      <c r="C271" s="8" t="s">
        <v>261</v>
      </c>
      <c r="D271" s="8" t="s">
        <v>286</v>
      </c>
      <c r="E271" s="8">
        <v>6</v>
      </c>
      <c r="F271" s="7" t="s">
        <v>16</v>
      </c>
      <c r="G271" s="8" t="s">
        <v>1012</v>
      </c>
      <c r="H271" s="5">
        <f t="shared" si="4"/>
        <v>148.22194117647061</v>
      </c>
      <c r="I271" s="6">
        <v>0.14758823529411763</v>
      </c>
      <c r="J271" s="6">
        <v>0.64217647058823524</v>
      </c>
      <c r="K271" s="6">
        <v>1.038470588235294</v>
      </c>
      <c r="L271" s="6">
        <v>0</v>
      </c>
      <c r="M271" s="6">
        <v>0.25505882352941178</v>
      </c>
      <c r="N271" s="6">
        <v>28.693470588235289</v>
      </c>
      <c r="O271" s="6">
        <v>0.55235294117647049</v>
      </c>
      <c r="P271" s="6">
        <v>1.383176470588235</v>
      </c>
      <c r="Q271" s="6">
        <v>1.8807941176470586</v>
      </c>
      <c r="R271" s="6">
        <v>0.51744117647058818</v>
      </c>
      <c r="S271" s="16">
        <v>24.155970588235292</v>
      </c>
      <c r="T271" s="16">
        <v>7.094117647058823E-2</v>
      </c>
      <c r="U271" s="16">
        <v>0.16520588235294115</v>
      </c>
      <c r="V271" s="6">
        <v>37.051588235294119</v>
      </c>
      <c r="W271" s="6">
        <v>2.7839411764705884</v>
      </c>
      <c r="X271" s="6">
        <v>30.91991176470588</v>
      </c>
      <c r="Y271" s="6">
        <v>0.11970588235294116</v>
      </c>
      <c r="Z271" s="6">
        <v>0.9082941176470587</v>
      </c>
      <c r="AA271" s="6">
        <v>0.44805882352941173</v>
      </c>
      <c r="AB271" s="6">
        <v>0.49920588235294111</v>
      </c>
      <c r="AC271" s="6">
        <v>12.144705882352941</v>
      </c>
      <c r="AD271" s="6">
        <v>1.6441176470588233E-2</v>
      </c>
      <c r="AE271" s="6">
        <v>0.35038235294117642</v>
      </c>
      <c r="AF271" s="6">
        <v>0.14676470588235294</v>
      </c>
      <c r="AG271" s="6">
        <v>9.0117647058823525E-2</v>
      </c>
      <c r="AH271" s="6">
        <v>0.90017647058823524</v>
      </c>
      <c r="AI271" s="6">
        <v>0.1759705882352941</v>
      </c>
      <c r="AJ271" s="6">
        <v>2.1640294117647056</v>
      </c>
    </row>
    <row r="272" spans="1:36" x14ac:dyDescent="0.25">
      <c r="A272" s="7" t="s">
        <v>338</v>
      </c>
      <c r="B272" s="27" t="s">
        <v>658</v>
      </c>
      <c r="C272" s="7" t="s">
        <v>261</v>
      </c>
      <c r="D272" s="7" t="s">
        <v>288</v>
      </c>
      <c r="E272" s="7">
        <v>6</v>
      </c>
      <c r="F272" s="7" t="s">
        <v>16</v>
      </c>
      <c r="G272" s="8" t="s">
        <v>1012</v>
      </c>
      <c r="H272" s="5">
        <f t="shared" si="4"/>
        <v>101.91888235294117</v>
      </c>
      <c r="I272" s="6">
        <v>7.1235294117647049E-2</v>
      </c>
      <c r="J272" s="6">
        <v>0.30105882352941177</v>
      </c>
      <c r="K272" s="6">
        <v>0.38223529411764701</v>
      </c>
      <c r="L272" s="6">
        <v>0</v>
      </c>
      <c r="M272" s="6">
        <v>0.11994117647058822</v>
      </c>
      <c r="N272" s="6">
        <v>14.680294117647056</v>
      </c>
      <c r="O272" s="6">
        <v>1.5669705882352938</v>
      </c>
      <c r="P272" s="6">
        <v>2.3181176470588234</v>
      </c>
      <c r="Q272" s="6">
        <v>0.94426470588235289</v>
      </c>
      <c r="R272" s="6">
        <v>0.20220588235294118</v>
      </c>
      <c r="S272" s="15">
        <v>10.237</v>
      </c>
      <c r="T272" s="15">
        <v>7.2999999999999995E-2</v>
      </c>
      <c r="U272" s="15">
        <v>7.5999999999999998E-2</v>
      </c>
      <c r="V272" s="6">
        <v>45.607705882352938</v>
      </c>
      <c r="W272" s="6">
        <v>2.3431764705882352</v>
      </c>
      <c r="X272" s="6">
        <v>13.20641176470588</v>
      </c>
      <c r="Y272" s="6">
        <v>9.2941176470588235E-2</v>
      </c>
      <c r="Z272" s="6">
        <v>0.41261764705882348</v>
      </c>
      <c r="AA272" s="6">
        <v>0.32782352941176468</v>
      </c>
      <c r="AB272" s="6">
        <v>0.27320588235294113</v>
      </c>
      <c r="AC272" s="6">
        <v>6.2867647058823533</v>
      </c>
      <c r="AD272" s="6">
        <v>1.276470588235294E-2</v>
      </c>
      <c r="AE272" s="6">
        <v>0.19635294117647056</v>
      </c>
      <c r="AF272" s="6">
        <v>7.1794117647058828E-2</v>
      </c>
      <c r="AG272" s="6">
        <v>4.6323529411764701E-2</v>
      </c>
      <c r="AH272" s="6">
        <v>0.51067647058823529</v>
      </c>
      <c r="AI272" s="6">
        <v>8.061764705882353E-2</v>
      </c>
      <c r="AJ272" s="6">
        <v>1.4773823529411765</v>
      </c>
    </row>
    <row r="273" spans="1:36" x14ac:dyDescent="0.25">
      <c r="A273" s="7" t="s">
        <v>339</v>
      </c>
      <c r="B273" s="27" t="s">
        <v>659</v>
      </c>
      <c r="C273" s="7" t="s">
        <v>261</v>
      </c>
      <c r="D273" s="7" t="s">
        <v>290</v>
      </c>
      <c r="E273" s="7">
        <v>6</v>
      </c>
      <c r="F273" s="7" t="s">
        <v>16</v>
      </c>
      <c r="G273" s="8" t="s">
        <v>1012</v>
      </c>
      <c r="H273" s="5">
        <f t="shared" si="4"/>
        <v>58.20376470588235</v>
      </c>
      <c r="I273" s="6">
        <v>3.5294117647058823E-2</v>
      </c>
      <c r="J273" s="6">
        <v>0.28452941176470586</v>
      </c>
      <c r="K273" s="6">
        <v>0.56414705882352945</v>
      </c>
      <c r="L273" s="6">
        <v>0</v>
      </c>
      <c r="M273" s="6">
        <v>0.11902941176470587</v>
      </c>
      <c r="N273" s="6">
        <v>14.75470588235294</v>
      </c>
      <c r="O273" s="6">
        <v>8.6205882352941174E-2</v>
      </c>
      <c r="P273" s="6">
        <v>0.17438235294117646</v>
      </c>
      <c r="Q273" s="6">
        <v>0.91879411764705876</v>
      </c>
      <c r="R273" s="6">
        <v>0.19897058823529409</v>
      </c>
      <c r="S273" s="15">
        <v>11.645</v>
      </c>
      <c r="T273" s="15">
        <v>0</v>
      </c>
      <c r="U273" s="15">
        <v>3.5999999999999997E-2</v>
      </c>
      <c r="V273" s="6">
        <v>8.9522058823529402</v>
      </c>
      <c r="W273" s="6">
        <v>1.0971176470588235</v>
      </c>
      <c r="X273" s="6">
        <v>9.1749999999999989</v>
      </c>
      <c r="Y273" s="6">
        <v>7.8676470588235292E-2</v>
      </c>
      <c r="Z273" s="6">
        <v>0.2176764705882353</v>
      </c>
      <c r="AA273" s="6">
        <v>0.17941176470588233</v>
      </c>
      <c r="AB273" s="6">
        <v>0.18564705882352939</v>
      </c>
      <c r="AC273" s="6">
        <v>6.6260588235294113</v>
      </c>
      <c r="AD273" s="6">
        <v>1.6E-2</v>
      </c>
      <c r="AE273" s="6">
        <v>0.16858823529411765</v>
      </c>
      <c r="AF273" s="6">
        <v>7.3588235294117649E-2</v>
      </c>
      <c r="AG273" s="6">
        <v>4.7705882352941167E-2</v>
      </c>
      <c r="AH273" s="6">
        <v>0.7896764705882352</v>
      </c>
      <c r="AI273" s="6">
        <v>0.11955882352941175</v>
      </c>
      <c r="AJ273" s="6">
        <v>1.6597941176470588</v>
      </c>
    </row>
    <row r="274" spans="1:36" x14ac:dyDescent="0.25">
      <c r="A274" s="7" t="s">
        <v>340</v>
      </c>
      <c r="B274" s="27" t="s">
        <v>660</v>
      </c>
      <c r="C274" s="7" t="s">
        <v>261</v>
      </c>
      <c r="D274" s="7" t="s">
        <v>292</v>
      </c>
      <c r="E274" s="7">
        <v>6</v>
      </c>
      <c r="F274" s="7" t="s">
        <v>16</v>
      </c>
      <c r="G274" s="8" t="s">
        <v>1012</v>
      </c>
      <c r="H274" s="5">
        <f t="shared" si="4"/>
        <v>93.01823529411763</v>
      </c>
      <c r="I274" s="6">
        <v>5.33235294117647E-2</v>
      </c>
      <c r="J274" s="6">
        <v>0.32449999999999996</v>
      </c>
      <c r="K274" s="6">
        <v>1.2407058823529411</v>
      </c>
      <c r="L274" s="6">
        <v>0</v>
      </c>
      <c r="M274" s="6">
        <v>0.11729411764705881</v>
      </c>
      <c r="N274" s="6">
        <v>20.865852941176467</v>
      </c>
      <c r="O274" s="6">
        <v>0.27220588235294113</v>
      </c>
      <c r="P274" s="6">
        <v>0.53617647058823525</v>
      </c>
      <c r="Q274" s="6">
        <v>3.0392352941176468</v>
      </c>
      <c r="R274" s="6">
        <v>0.19123529411764703</v>
      </c>
      <c r="S274" s="15">
        <v>10.417999999999999</v>
      </c>
      <c r="T274" s="15">
        <v>2.5000000000000001E-2</v>
      </c>
      <c r="U274" s="15">
        <v>4.8000000000000001E-2</v>
      </c>
      <c r="V274" s="6">
        <v>28.600588235294115</v>
      </c>
      <c r="W274" s="6">
        <v>1.9699117647058821</v>
      </c>
      <c r="X274" s="6">
        <v>16.774558823529411</v>
      </c>
      <c r="Y274" s="6">
        <v>8.9823529411764705E-2</v>
      </c>
      <c r="Z274" s="6">
        <v>0.61194117647058821</v>
      </c>
      <c r="AA274" s="6">
        <v>0.21570588235294116</v>
      </c>
      <c r="AB274" s="6">
        <v>0.41397058823529403</v>
      </c>
      <c r="AC274" s="6">
        <v>5.091441176470588</v>
      </c>
      <c r="AD274" s="6">
        <v>1.1323529411764705E-2</v>
      </c>
      <c r="AE274" s="6">
        <v>0.15049999999999999</v>
      </c>
      <c r="AF274" s="6">
        <v>7.1999999999999995E-2</v>
      </c>
      <c r="AG274" s="6">
        <v>5.3735294117647062E-2</v>
      </c>
      <c r="AH274" s="6">
        <v>0.53741176470588226</v>
      </c>
      <c r="AI274" s="6">
        <v>9.3058823529411763E-2</v>
      </c>
      <c r="AJ274" s="6">
        <v>1.200735294117647</v>
      </c>
    </row>
    <row r="275" spans="1:36" x14ac:dyDescent="0.25">
      <c r="A275" s="7" t="s">
        <v>341</v>
      </c>
      <c r="B275" s="27" t="s">
        <v>661</v>
      </c>
      <c r="C275" s="7" t="s">
        <v>261</v>
      </c>
      <c r="D275" s="7" t="s">
        <v>262</v>
      </c>
      <c r="E275" s="7">
        <v>0</v>
      </c>
      <c r="F275" s="7" t="s">
        <v>17</v>
      </c>
      <c r="G275" s="8" t="s">
        <v>1012</v>
      </c>
      <c r="H275" s="5">
        <f t="shared" si="4"/>
        <v>126.90261764705879</v>
      </c>
      <c r="I275" s="6">
        <v>0.10347058823529412</v>
      </c>
      <c r="J275" s="6">
        <v>0.42805882352941171</v>
      </c>
      <c r="K275" s="6">
        <v>0.88773529411764696</v>
      </c>
      <c r="L275" s="6">
        <v>0</v>
      </c>
      <c r="M275" s="6">
        <v>0.1656470588235294</v>
      </c>
      <c r="N275" s="6">
        <v>28.821470588235293</v>
      </c>
      <c r="O275" s="6">
        <v>0</v>
      </c>
      <c r="P275" s="6">
        <v>0</v>
      </c>
      <c r="Q275" s="6">
        <v>3.6425588235294115</v>
      </c>
      <c r="R275" s="6">
        <v>0.25547058823529412</v>
      </c>
      <c r="S275" s="15">
        <v>14.646000000000001</v>
      </c>
      <c r="T275" s="15">
        <v>0</v>
      </c>
      <c r="U275" s="15">
        <v>0</v>
      </c>
      <c r="V275" s="6">
        <v>23.531029411764706</v>
      </c>
      <c r="W275" s="6">
        <v>3.3490294117647057</v>
      </c>
      <c r="X275" s="6">
        <v>24.595088235294117</v>
      </c>
      <c r="Y275" s="6">
        <v>0.46664705882352936</v>
      </c>
      <c r="Z275" s="6">
        <v>0.9160588235294117</v>
      </c>
      <c r="AA275" s="6">
        <v>8.2558823529411768E-2</v>
      </c>
      <c r="AB275" s="6">
        <v>0.27870588235294114</v>
      </c>
      <c r="AC275" s="6">
        <v>15.33235294117647</v>
      </c>
      <c r="AD275" s="6">
        <v>8.6382352941176466E-2</v>
      </c>
      <c r="AE275" s="6">
        <v>0.20614705882352941</v>
      </c>
      <c r="AF275" s="6">
        <v>0.53600000000000003</v>
      </c>
      <c r="AG275" s="6">
        <v>5.3264705882352943E-2</v>
      </c>
      <c r="AH275" s="6">
        <v>0.4129411764705882</v>
      </c>
      <c r="AI275" s="6">
        <v>0.40749999999999997</v>
      </c>
      <c r="AJ275" s="6">
        <v>7.6984999999999992</v>
      </c>
    </row>
    <row r="276" spans="1:36" x14ac:dyDescent="0.25">
      <c r="A276" s="7" t="s">
        <v>342</v>
      </c>
      <c r="B276" s="27" t="s">
        <v>662</v>
      </c>
      <c r="C276" s="7" t="s">
        <v>261</v>
      </c>
      <c r="D276" s="7" t="s">
        <v>268</v>
      </c>
      <c r="E276" s="7">
        <v>1</v>
      </c>
      <c r="F276" s="7" t="s">
        <v>17</v>
      </c>
      <c r="G276" s="8" t="s">
        <v>1012</v>
      </c>
      <c r="H276" s="5">
        <f t="shared" si="4"/>
        <v>102.71764705882352</v>
      </c>
      <c r="I276" s="6">
        <v>7.8882352941176459E-2</v>
      </c>
      <c r="J276" s="6">
        <v>0.39476470588235291</v>
      </c>
      <c r="K276" s="6">
        <v>0.69632352941176456</v>
      </c>
      <c r="L276" s="6">
        <v>0</v>
      </c>
      <c r="M276" s="6">
        <v>0.12076470588235293</v>
      </c>
      <c r="N276" s="6">
        <v>22.255470588235294</v>
      </c>
      <c r="O276" s="6">
        <v>7.9352941176470584E-2</v>
      </c>
      <c r="P276" s="6">
        <v>7.5970588235294109E-2</v>
      </c>
      <c r="Q276" s="6">
        <v>2.4562941176470585</v>
      </c>
      <c r="R276" s="6">
        <v>0.23714705882352938</v>
      </c>
      <c r="S276" s="15">
        <v>13.577</v>
      </c>
      <c r="T276" s="15">
        <v>0</v>
      </c>
      <c r="U276" s="15">
        <v>0</v>
      </c>
      <c r="V276" s="6">
        <v>20.727970588235291</v>
      </c>
      <c r="W276" s="6">
        <v>3.1102647058823529</v>
      </c>
      <c r="X276" s="6">
        <v>15.245294117647058</v>
      </c>
      <c r="Y276" s="6">
        <v>0.19197058823529409</v>
      </c>
      <c r="Z276" s="6">
        <v>0.50405882352941178</v>
      </c>
      <c r="AA276" s="6">
        <v>7.3970588235294107E-2</v>
      </c>
      <c r="AB276" s="6">
        <v>0.27191176470588235</v>
      </c>
      <c r="AC276" s="6">
        <v>14.240617647058821</v>
      </c>
      <c r="AD276" s="6">
        <v>6.2705882352941167E-2</v>
      </c>
      <c r="AE276" s="6">
        <v>0.19023529411764706</v>
      </c>
      <c r="AF276" s="6">
        <v>0.38020588235294112</v>
      </c>
      <c r="AG276" s="6">
        <v>4.255882352941176E-2</v>
      </c>
      <c r="AH276" s="6">
        <v>0.38697058823529407</v>
      </c>
      <c r="AI276" s="6">
        <v>0.36626470588235294</v>
      </c>
      <c r="AJ276" s="6">
        <v>6.9506764705882356</v>
      </c>
    </row>
    <row r="277" spans="1:36" x14ac:dyDescent="0.25">
      <c r="A277" s="7" t="s">
        <v>343</v>
      </c>
      <c r="B277" s="27" t="s">
        <v>663</v>
      </c>
      <c r="C277" s="7" t="s">
        <v>261</v>
      </c>
      <c r="D277" s="7" t="s">
        <v>270</v>
      </c>
      <c r="E277" s="7">
        <v>1</v>
      </c>
      <c r="F277" s="7" t="s">
        <v>17</v>
      </c>
      <c r="G277" s="8" t="s">
        <v>1012</v>
      </c>
      <c r="H277" s="5">
        <f t="shared" si="4"/>
        <v>76.596235294117633</v>
      </c>
      <c r="I277" s="6">
        <v>7.0058823529411757E-2</v>
      </c>
      <c r="J277" s="6">
        <v>0.38955882352941179</v>
      </c>
      <c r="K277" s="6">
        <v>0.36170588235294115</v>
      </c>
      <c r="L277" s="6">
        <v>0</v>
      </c>
      <c r="M277" s="6">
        <v>0.12185294117647058</v>
      </c>
      <c r="N277" s="6">
        <v>19.763382352941175</v>
      </c>
      <c r="O277" s="6">
        <v>6.8588235294117644E-2</v>
      </c>
      <c r="P277" s="6">
        <v>0.14499999999999999</v>
      </c>
      <c r="Q277" s="6">
        <v>0.98458823529411754</v>
      </c>
      <c r="R277" s="6">
        <v>0.27685294117647058</v>
      </c>
      <c r="S277" s="15">
        <v>11.465999999999999</v>
      </c>
      <c r="T277" s="15">
        <v>0</v>
      </c>
      <c r="U277" s="15">
        <v>0</v>
      </c>
      <c r="V277" s="6">
        <v>7.917529411764705</v>
      </c>
      <c r="W277" s="6">
        <v>1.0350588235294118</v>
      </c>
      <c r="X277" s="6">
        <v>13.373823529411764</v>
      </c>
      <c r="Y277" s="6">
        <v>0.32608823529411762</v>
      </c>
      <c r="Z277" s="6">
        <v>0.24664705882352941</v>
      </c>
      <c r="AA277" s="6">
        <v>0.23923529411764702</v>
      </c>
      <c r="AB277" s="6">
        <v>0.18285294117647058</v>
      </c>
      <c r="AC277" s="6">
        <v>12.18470588235294</v>
      </c>
      <c r="AD277" s="6">
        <v>4.3617647058823525E-2</v>
      </c>
      <c r="AE277" s="6">
        <v>0.41252941176470581</v>
      </c>
      <c r="AF277" s="6">
        <v>0.24897058823529411</v>
      </c>
      <c r="AG277" s="6">
        <v>7.7176470588235291E-2</v>
      </c>
      <c r="AH277" s="6">
        <v>0.23758823529411763</v>
      </c>
      <c r="AI277" s="6">
        <v>0.21541176470588233</v>
      </c>
      <c r="AJ277" s="6">
        <v>6.2074117647058822</v>
      </c>
    </row>
    <row r="278" spans="1:36" x14ac:dyDescent="0.25">
      <c r="A278" s="7" t="s">
        <v>344</v>
      </c>
      <c r="B278" s="27" t="s">
        <v>664</v>
      </c>
      <c r="C278" s="7" t="s">
        <v>261</v>
      </c>
      <c r="D278" s="7" t="s">
        <v>272</v>
      </c>
      <c r="E278" s="7">
        <v>1</v>
      </c>
      <c r="F278" s="7" t="s">
        <v>17</v>
      </c>
      <c r="G278" s="8" t="s">
        <v>1012</v>
      </c>
      <c r="H278" s="5">
        <f t="shared" si="4"/>
        <v>130.37191176470586</v>
      </c>
      <c r="I278" s="6">
        <v>0.10773529411764705</v>
      </c>
      <c r="J278" s="6">
        <v>0.4398529411764705</v>
      </c>
      <c r="K278" s="6">
        <v>0.75002941176470583</v>
      </c>
      <c r="L278" s="6">
        <v>0</v>
      </c>
      <c r="M278" s="6">
        <v>0.15002941176470588</v>
      </c>
      <c r="N278" s="6">
        <v>26.810647058823527</v>
      </c>
      <c r="O278" s="6">
        <v>0.14585294117647057</v>
      </c>
      <c r="P278" s="6">
        <v>7.9764705882352932E-2</v>
      </c>
      <c r="Q278" s="6">
        <v>2.8538823529411763</v>
      </c>
      <c r="R278" s="6">
        <v>0.31114705882352939</v>
      </c>
      <c r="S278" s="15">
        <v>17.652000000000001</v>
      </c>
      <c r="T278" s="15">
        <v>0</v>
      </c>
      <c r="U278" s="15">
        <v>0</v>
      </c>
      <c r="V278" s="6">
        <v>24.738117647058818</v>
      </c>
      <c r="W278" s="6">
        <v>2.9048529411764705</v>
      </c>
      <c r="X278" s="6">
        <v>23.913823529411761</v>
      </c>
      <c r="Y278" s="6">
        <v>0.39944117647058819</v>
      </c>
      <c r="Z278" s="6">
        <v>0.71652941176470586</v>
      </c>
      <c r="AA278" s="6">
        <v>8.9882352941176469E-2</v>
      </c>
      <c r="AB278" s="6">
        <v>0.28132352941176469</v>
      </c>
      <c r="AC278" s="6">
        <v>18.380470588235294</v>
      </c>
      <c r="AD278" s="6">
        <v>7.3411764705882343E-2</v>
      </c>
      <c r="AE278" s="6">
        <v>0.22902941176470584</v>
      </c>
      <c r="AF278" s="6">
        <v>0.40576470588235292</v>
      </c>
      <c r="AG278" s="6">
        <v>6.5000000000000002E-2</v>
      </c>
      <c r="AH278" s="6">
        <v>0.46182352941176463</v>
      </c>
      <c r="AI278" s="6">
        <v>0.45200000000000001</v>
      </c>
      <c r="AJ278" s="6">
        <v>7.9594999999999994</v>
      </c>
    </row>
    <row r="279" spans="1:36" x14ac:dyDescent="0.25">
      <c r="A279" s="8" t="s">
        <v>345</v>
      </c>
      <c r="B279" s="27" t="s">
        <v>665</v>
      </c>
      <c r="C279" s="8" t="s">
        <v>261</v>
      </c>
      <c r="D279" s="8" t="s">
        <v>264</v>
      </c>
      <c r="E279" s="8">
        <v>1</v>
      </c>
      <c r="F279" s="8" t="s">
        <v>17</v>
      </c>
      <c r="G279" s="8" t="s">
        <v>1012</v>
      </c>
      <c r="H279" s="5">
        <f t="shared" si="4"/>
        <v>376.59685294117634</v>
      </c>
      <c r="I279" s="6">
        <v>0.25911764705882351</v>
      </c>
      <c r="J279" s="6">
        <v>0.98920588235294116</v>
      </c>
      <c r="K279" s="6">
        <v>1.448735294117647</v>
      </c>
      <c r="L279" s="6">
        <v>0</v>
      </c>
      <c r="M279" s="6">
        <v>0.47682352941176465</v>
      </c>
      <c r="N279" s="6">
        <v>91.690176470588227</v>
      </c>
      <c r="O279" s="6">
        <v>0.23238235294117646</v>
      </c>
      <c r="P279" s="6">
        <v>8.4117647058823519E-2</v>
      </c>
      <c r="Q279" s="6">
        <v>9.4400882352941178</v>
      </c>
      <c r="R279" s="6">
        <v>0.89973529411764708</v>
      </c>
      <c r="S279" s="16">
        <v>47.949647058823523</v>
      </c>
      <c r="T279" s="16">
        <v>2.2970588235294118E-2</v>
      </c>
      <c r="U279" s="16">
        <v>0</v>
      </c>
      <c r="V279" s="6">
        <v>51.55691176470588</v>
      </c>
      <c r="W279" s="6">
        <v>8.3622941176470569</v>
      </c>
      <c r="X279" s="6">
        <v>73.320941176470583</v>
      </c>
      <c r="Y279" s="6">
        <v>1.0832352941176471</v>
      </c>
      <c r="Z279" s="6">
        <v>2.0296176470588234</v>
      </c>
      <c r="AA279" s="6">
        <v>0.91870588235294115</v>
      </c>
      <c r="AB279" s="6">
        <v>1.0628529411764707</v>
      </c>
      <c r="AC279" s="6">
        <v>56.987029411764695</v>
      </c>
      <c r="AD279" s="6">
        <v>0.30349999999999999</v>
      </c>
      <c r="AE279" s="6">
        <v>1.7380882352941174</v>
      </c>
      <c r="AF279" s="6">
        <v>0.78670588235294114</v>
      </c>
      <c r="AG279" s="6">
        <v>0.24382352941176469</v>
      </c>
      <c r="AH279" s="6">
        <v>1.2409117647058823</v>
      </c>
      <c r="AI279" s="6">
        <v>0.96399999999999986</v>
      </c>
      <c r="AJ279" s="6">
        <v>22.505235294117643</v>
      </c>
    </row>
    <row r="280" spans="1:36" x14ac:dyDescent="0.25">
      <c r="A280" s="8" t="s">
        <v>346</v>
      </c>
      <c r="B280" s="27" t="s">
        <v>666</v>
      </c>
      <c r="C280" s="8" t="s">
        <v>261</v>
      </c>
      <c r="D280" s="8" t="s">
        <v>266</v>
      </c>
      <c r="E280" s="8">
        <v>1</v>
      </c>
      <c r="F280" s="8" t="s">
        <v>17</v>
      </c>
      <c r="G280" s="8" t="s">
        <v>1012</v>
      </c>
      <c r="H280" s="5">
        <f t="shared" si="4"/>
        <v>366.13349999999997</v>
      </c>
      <c r="I280" s="6">
        <v>0.41088235294117642</v>
      </c>
      <c r="J280" s="6">
        <v>1.6403823529411763</v>
      </c>
      <c r="K280" s="6">
        <v>1.4943823529411764</v>
      </c>
      <c r="L280" s="6">
        <v>0</v>
      </c>
      <c r="M280" s="6">
        <v>0.4487647058823529</v>
      </c>
      <c r="N280" s="6">
        <v>81.211941176470575</v>
      </c>
      <c r="O280" s="6">
        <v>0.40694117647058825</v>
      </c>
      <c r="P280" s="6">
        <v>0.42041176470588237</v>
      </c>
      <c r="Q280" s="6">
        <v>4.2046176470588232</v>
      </c>
      <c r="R280" s="6">
        <v>1.0651764705882352</v>
      </c>
      <c r="S280" s="16">
        <v>54.828970588235293</v>
      </c>
      <c r="T280" s="16">
        <v>1.6117647058823528E-2</v>
      </c>
      <c r="U280" s="16">
        <v>3.914705882352941E-2</v>
      </c>
      <c r="V280" s="6">
        <v>48.667323529411767</v>
      </c>
      <c r="W280" s="6">
        <v>6.1707058823529408</v>
      </c>
      <c r="X280" s="6">
        <v>70.581911764705879</v>
      </c>
      <c r="Y280" s="6">
        <v>0.87308823529411761</v>
      </c>
      <c r="Z280" s="6">
        <v>1.6305294117647058</v>
      </c>
      <c r="AA280" s="6">
        <v>0.24658823529411761</v>
      </c>
      <c r="AB280" s="6">
        <v>0.5742647058823529</v>
      </c>
      <c r="AC280" s="6">
        <v>61.63308823529411</v>
      </c>
      <c r="AD280" s="6">
        <v>0.15941176470588234</v>
      </c>
      <c r="AE280" s="6">
        <v>0.68570588235294105</v>
      </c>
      <c r="AF280" s="6">
        <v>0.64644117647058819</v>
      </c>
      <c r="AG280" s="6">
        <v>0.1343235294117647</v>
      </c>
      <c r="AH280" s="6">
        <v>1.296470588235294</v>
      </c>
      <c r="AI280" s="6">
        <v>1.3585588235294117</v>
      </c>
      <c r="AJ280" s="6">
        <v>25.287352941176469</v>
      </c>
    </row>
    <row r="281" spans="1:36" x14ac:dyDescent="0.25">
      <c r="A281" s="7" t="s">
        <v>347</v>
      </c>
      <c r="B281" s="27" t="s">
        <v>667</v>
      </c>
      <c r="C281" s="7" t="s">
        <v>261</v>
      </c>
      <c r="D281" s="7" t="s">
        <v>278</v>
      </c>
      <c r="E281" s="7">
        <v>2</v>
      </c>
      <c r="F281" s="8" t="s">
        <v>17</v>
      </c>
      <c r="G281" s="8" t="s">
        <v>1012</v>
      </c>
      <c r="H281" s="5">
        <f t="shared" si="4"/>
        <v>88.146558823529404</v>
      </c>
      <c r="I281" s="6">
        <v>9.6294117647058808E-2</v>
      </c>
      <c r="J281" s="6">
        <v>0.40247058823529408</v>
      </c>
      <c r="K281" s="6">
        <v>0.44720588235294112</v>
      </c>
      <c r="L281" s="6">
        <v>0</v>
      </c>
      <c r="M281" s="6">
        <v>0.13361764705882351</v>
      </c>
      <c r="N281" s="6">
        <v>21.158882352941173</v>
      </c>
      <c r="O281" s="6">
        <v>2.088235294117647E-2</v>
      </c>
      <c r="P281" s="6">
        <v>4.4999999999999991E-2</v>
      </c>
      <c r="Q281" s="6">
        <v>1.0754999999999999</v>
      </c>
      <c r="R281" s="6">
        <v>0.29379411764705882</v>
      </c>
      <c r="S281" s="15">
        <v>13.167</v>
      </c>
      <c r="T281" s="15">
        <v>0</v>
      </c>
      <c r="U281" s="15">
        <v>0</v>
      </c>
      <c r="V281" s="6">
        <v>9.0685588235294112</v>
      </c>
      <c r="W281" s="6">
        <v>1.365</v>
      </c>
      <c r="X281" s="6">
        <v>17.500941176470587</v>
      </c>
      <c r="Y281" s="6">
        <v>0.24364705882352938</v>
      </c>
      <c r="Z281" s="6">
        <v>0.32449999999999996</v>
      </c>
      <c r="AA281" s="6">
        <v>0.21288235294117647</v>
      </c>
      <c r="AB281" s="6">
        <v>0.25555882352941173</v>
      </c>
      <c r="AC281" s="6">
        <v>13.935382352941176</v>
      </c>
      <c r="AD281" s="6">
        <v>4.0264705882352939E-2</v>
      </c>
      <c r="AE281" s="6">
        <v>0.40941176470588231</v>
      </c>
      <c r="AF281" s="6">
        <v>0.15582352941176469</v>
      </c>
      <c r="AG281" s="6">
        <v>4.5735294117647055E-2</v>
      </c>
      <c r="AH281" s="6">
        <v>0.2878235294117647</v>
      </c>
      <c r="AI281" s="6">
        <v>0.25173529411764706</v>
      </c>
      <c r="AJ281" s="6">
        <v>7.2086470588235292</v>
      </c>
    </row>
    <row r="282" spans="1:36" x14ac:dyDescent="0.25">
      <c r="A282" s="7" t="s">
        <v>348</v>
      </c>
      <c r="B282" s="27" t="s">
        <v>668</v>
      </c>
      <c r="C282" s="7" t="s">
        <v>261</v>
      </c>
      <c r="D282" s="7" t="s">
        <v>280</v>
      </c>
      <c r="E282" s="7">
        <v>2</v>
      </c>
      <c r="F282" s="8" t="s">
        <v>17</v>
      </c>
      <c r="G282" s="8" t="s">
        <v>1012</v>
      </c>
      <c r="H282" s="5">
        <f t="shared" si="4"/>
        <v>138.83847058823525</v>
      </c>
      <c r="I282" s="6">
        <v>8.3558823529411755E-2</v>
      </c>
      <c r="J282" s="6">
        <v>0.37502941176470589</v>
      </c>
      <c r="K282" s="6">
        <v>0.66761764705882343</v>
      </c>
      <c r="L282" s="6">
        <v>0</v>
      </c>
      <c r="M282" s="6">
        <v>0.17358823529411765</v>
      </c>
      <c r="N282" s="6">
        <v>30.047588235294114</v>
      </c>
      <c r="O282" s="6">
        <v>0.23655882352941174</v>
      </c>
      <c r="P282" s="6">
        <v>0.26726470588235296</v>
      </c>
      <c r="Q282" s="6">
        <v>2.5030882352941175</v>
      </c>
      <c r="R282" s="6">
        <v>0.31370588235294117</v>
      </c>
      <c r="S282" s="15">
        <v>17.375</v>
      </c>
      <c r="T282" s="15">
        <v>0</v>
      </c>
      <c r="U282" s="15">
        <v>3.3000000000000002E-2</v>
      </c>
      <c r="V282" s="6">
        <v>25.344117647058823</v>
      </c>
      <c r="W282" s="6">
        <v>2.6023235294117644</v>
      </c>
      <c r="X282" s="6">
        <v>26.905352941176467</v>
      </c>
      <c r="Y282" s="6">
        <v>0.47714705882352942</v>
      </c>
      <c r="Z282" s="6">
        <v>0.75241176470588222</v>
      </c>
      <c r="AA282" s="6">
        <v>9.0411764705882344E-2</v>
      </c>
      <c r="AB282" s="6">
        <v>0.27447058823529408</v>
      </c>
      <c r="AC282" s="6">
        <v>19.301529411764704</v>
      </c>
      <c r="AD282" s="6">
        <v>5.885294117647058E-2</v>
      </c>
      <c r="AE282" s="6">
        <v>0.22688235294117645</v>
      </c>
      <c r="AF282" s="6">
        <v>0.34985294117647053</v>
      </c>
      <c r="AG282" s="6">
        <v>5.2264705882352942E-2</v>
      </c>
      <c r="AH282" s="6">
        <v>0.51485294117647062</v>
      </c>
      <c r="AI282" s="6">
        <v>0.41767647058823526</v>
      </c>
      <c r="AJ282" s="6">
        <v>9.3943235294117642</v>
      </c>
    </row>
    <row r="283" spans="1:36" x14ac:dyDescent="0.25">
      <c r="A283" s="7" t="s">
        <v>349</v>
      </c>
      <c r="B283" s="27" t="s">
        <v>669</v>
      </c>
      <c r="C283" s="7" t="s">
        <v>261</v>
      </c>
      <c r="D283" s="7" t="s">
        <v>282</v>
      </c>
      <c r="E283" s="7">
        <v>2</v>
      </c>
      <c r="F283" s="8" t="s">
        <v>17</v>
      </c>
      <c r="G283" s="8" t="s">
        <v>1012</v>
      </c>
      <c r="H283" s="5">
        <f t="shared" si="4"/>
        <v>150.04985294117645</v>
      </c>
      <c r="I283" s="6">
        <v>0.12358823529411764</v>
      </c>
      <c r="J283" s="6">
        <v>0.46020588235294113</v>
      </c>
      <c r="K283" s="6">
        <v>1.0412941176470587</v>
      </c>
      <c r="L283" s="6">
        <v>0</v>
      </c>
      <c r="M283" s="6">
        <v>0.17988235294117647</v>
      </c>
      <c r="N283" s="6">
        <v>33.532470588235292</v>
      </c>
      <c r="O283" s="6">
        <v>0.20105882352941176</v>
      </c>
      <c r="P283" s="6">
        <v>0.21708823529411764</v>
      </c>
      <c r="Q283" s="6">
        <v>3.3038235294117642</v>
      </c>
      <c r="R283" s="6">
        <v>0.32399999999999995</v>
      </c>
      <c r="S283" s="15">
        <v>17.893999999999998</v>
      </c>
      <c r="T283" s="15">
        <v>0</v>
      </c>
      <c r="U283" s="15">
        <v>0</v>
      </c>
      <c r="V283" s="6">
        <v>29.344117647058823</v>
      </c>
      <c r="W283" s="6">
        <v>2.9329999999999998</v>
      </c>
      <c r="X283" s="6">
        <v>28.716529411764704</v>
      </c>
      <c r="Y283" s="6">
        <v>0.58452941176470585</v>
      </c>
      <c r="Z283" s="6">
        <v>0.96473529411764702</v>
      </c>
      <c r="AA283" s="6">
        <v>0.1046470588235294</v>
      </c>
      <c r="AB283" s="6">
        <v>0.33420588235294113</v>
      </c>
      <c r="AC283" s="6">
        <v>18.539264705882353</v>
      </c>
      <c r="AD283" s="6">
        <v>6.8176470588235283E-2</v>
      </c>
      <c r="AE283" s="6">
        <v>0.22373529411764703</v>
      </c>
      <c r="AF283" s="6">
        <v>0.3716176470588235</v>
      </c>
      <c r="AG283" s="6">
        <v>4.6705882352941167E-2</v>
      </c>
      <c r="AH283" s="6">
        <v>0.52561764705882352</v>
      </c>
      <c r="AI283" s="6">
        <v>0.44144117647058823</v>
      </c>
      <c r="AJ283" s="6">
        <v>9.5741176470588218</v>
      </c>
    </row>
    <row r="284" spans="1:36" x14ac:dyDescent="0.25">
      <c r="A284" s="8" t="s">
        <v>350</v>
      </c>
      <c r="B284" s="27" t="s">
        <v>670</v>
      </c>
      <c r="C284" s="8" t="s">
        <v>261</v>
      </c>
      <c r="D284" s="8" t="s">
        <v>274</v>
      </c>
      <c r="E284" s="8">
        <v>2</v>
      </c>
      <c r="F284" s="8" t="s">
        <v>17</v>
      </c>
      <c r="G284" s="8" t="s">
        <v>1012</v>
      </c>
      <c r="H284" s="5">
        <f t="shared" si="4"/>
        <v>362.4015</v>
      </c>
      <c r="I284" s="6">
        <v>0.22670588235294115</v>
      </c>
      <c r="J284" s="6">
        <v>0.96438235294117647</v>
      </c>
      <c r="K284" s="6">
        <v>1.411470588235294</v>
      </c>
      <c r="L284" s="6">
        <v>0</v>
      </c>
      <c r="M284" s="6">
        <v>0.4589117647058823</v>
      </c>
      <c r="N284" s="6">
        <v>84.029735294117643</v>
      </c>
      <c r="O284" s="6">
        <v>0.90070588235294113</v>
      </c>
      <c r="P284" s="6">
        <v>1.082205882352941</v>
      </c>
      <c r="Q284" s="6">
        <v>4.4664705882352935</v>
      </c>
      <c r="R284" s="6">
        <v>1.0450882352941175</v>
      </c>
      <c r="S284" s="16">
        <v>50.34579411764706</v>
      </c>
      <c r="T284" s="16">
        <v>0.10473529411764707</v>
      </c>
      <c r="U284" s="16">
        <v>0.14332352941176471</v>
      </c>
      <c r="V284" s="6">
        <v>56.405235294117638</v>
      </c>
      <c r="W284" s="6">
        <v>6.4874999999999998</v>
      </c>
      <c r="X284" s="6">
        <v>66.405705882352947</v>
      </c>
      <c r="Y284" s="6">
        <v>0.78541176470588225</v>
      </c>
      <c r="Z284" s="6">
        <v>1.7782941176470588</v>
      </c>
      <c r="AA284" s="6">
        <v>0.23841176470588232</v>
      </c>
      <c r="AB284" s="6">
        <v>0.63302941176470584</v>
      </c>
      <c r="AC284" s="6">
        <v>55.677323529411758</v>
      </c>
      <c r="AD284" s="6">
        <v>0.17661764705882352</v>
      </c>
      <c r="AE284" s="6">
        <v>0.66691176470588232</v>
      </c>
      <c r="AF284" s="6">
        <v>0.63082352941176467</v>
      </c>
      <c r="AG284" s="6">
        <v>0.11791176470588234</v>
      </c>
      <c r="AH284" s="6">
        <v>1.2837941176470586</v>
      </c>
      <c r="AI284" s="6">
        <v>1.2556176470588234</v>
      </c>
      <c r="AJ284" s="6">
        <v>24.679382352941175</v>
      </c>
    </row>
    <row r="285" spans="1:36" x14ac:dyDescent="0.25">
      <c r="A285" s="8" t="s">
        <v>351</v>
      </c>
      <c r="B285" s="27" t="s">
        <v>671</v>
      </c>
      <c r="C285" s="8" t="s">
        <v>261</v>
      </c>
      <c r="D285" s="8" t="s">
        <v>276</v>
      </c>
      <c r="E285" s="8">
        <v>2</v>
      </c>
      <c r="F285" s="8" t="s">
        <v>17</v>
      </c>
      <c r="G285" s="8" t="s">
        <v>1012</v>
      </c>
      <c r="H285" s="5">
        <f t="shared" si="4"/>
        <v>378.09370588235288</v>
      </c>
      <c r="I285" s="6">
        <v>0.23799999999999999</v>
      </c>
      <c r="J285" s="6">
        <v>0.98729411764705866</v>
      </c>
      <c r="K285" s="6">
        <v>1.4845588235294118</v>
      </c>
      <c r="L285" s="6">
        <v>0</v>
      </c>
      <c r="M285" s="6">
        <v>0.48938235294117644</v>
      </c>
      <c r="N285" s="6">
        <v>86.765558823529403</v>
      </c>
      <c r="O285" s="6">
        <v>0.92523529411764704</v>
      </c>
      <c r="P285" s="6">
        <v>1.138735294117647</v>
      </c>
      <c r="Q285" s="6">
        <v>9.5542941176470588</v>
      </c>
      <c r="R285" s="6">
        <v>0.99182352941176466</v>
      </c>
      <c r="S285" s="16">
        <v>43.915705882352938</v>
      </c>
      <c r="T285" s="16">
        <v>5.1647058823529407E-2</v>
      </c>
      <c r="U285" s="16">
        <v>7.9617647058823529E-2</v>
      </c>
      <c r="V285" s="6">
        <v>61.429647058823527</v>
      </c>
      <c r="W285" s="6">
        <v>9.9882647058823526</v>
      </c>
      <c r="X285" s="6">
        <v>74.383176470588225</v>
      </c>
      <c r="Y285" s="6">
        <v>1.1742941176470587</v>
      </c>
      <c r="Z285" s="6">
        <v>2.2056470588235295</v>
      </c>
      <c r="AA285" s="6">
        <v>0.53249999999999997</v>
      </c>
      <c r="AB285" s="6">
        <v>1.1205588235294117</v>
      </c>
      <c r="AC285" s="6">
        <v>55.60932352941176</v>
      </c>
      <c r="AD285" s="6">
        <v>0.23402941176470587</v>
      </c>
      <c r="AE285" s="6">
        <v>0.94288235294117628</v>
      </c>
      <c r="AF285" s="6">
        <v>0.71891176470588236</v>
      </c>
      <c r="AG285" s="6">
        <v>0.15035294117647058</v>
      </c>
      <c r="AH285" s="6">
        <v>1.2520588235294117</v>
      </c>
      <c r="AI285" s="6">
        <v>1.1013235294117647</v>
      </c>
      <c r="AJ285" s="6">
        <v>20.628882352941176</v>
      </c>
    </row>
    <row r="286" spans="1:36" x14ac:dyDescent="0.25">
      <c r="A286" s="7" t="s">
        <v>352</v>
      </c>
      <c r="B286" s="27" t="s">
        <v>672</v>
      </c>
      <c r="C286" s="7" t="s">
        <v>261</v>
      </c>
      <c r="D286" s="7" t="s">
        <v>288</v>
      </c>
      <c r="E286" s="7">
        <v>6</v>
      </c>
      <c r="F286" s="8" t="s">
        <v>17</v>
      </c>
      <c r="G286" s="8" t="s">
        <v>1012</v>
      </c>
      <c r="H286" s="5">
        <f t="shared" si="4"/>
        <v>169.25320588235292</v>
      </c>
      <c r="I286" s="6">
        <v>7.0970588235294105E-2</v>
      </c>
      <c r="J286" s="6">
        <v>0.40167647058823525</v>
      </c>
      <c r="K286" s="6">
        <v>1.168735294117647</v>
      </c>
      <c r="L286" s="6">
        <v>0</v>
      </c>
      <c r="M286" s="6">
        <v>0.23079411764705879</v>
      </c>
      <c r="N286" s="6">
        <v>36.253470588235295</v>
      </c>
      <c r="O286" s="6">
        <v>0.62629411764705878</v>
      </c>
      <c r="P286" s="6">
        <v>0.9070588235294117</v>
      </c>
      <c r="Q286" s="6">
        <v>5.1132352941176462</v>
      </c>
      <c r="R286" s="6">
        <v>0.33020588235294113</v>
      </c>
      <c r="S286" s="15">
        <v>13.686</v>
      </c>
      <c r="T286" s="15">
        <v>0</v>
      </c>
      <c r="U286" s="15">
        <v>0.06</v>
      </c>
      <c r="V286" s="6">
        <v>39.525205882352942</v>
      </c>
      <c r="W286" s="6">
        <v>3.2162647058823524</v>
      </c>
      <c r="X286" s="6">
        <v>35.358323529411763</v>
      </c>
      <c r="Y286" s="6">
        <v>1.2400588235294117</v>
      </c>
      <c r="Z286" s="6">
        <v>1.5142352941176469</v>
      </c>
      <c r="AA286" s="6">
        <v>0.10294117647058823</v>
      </c>
      <c r="AB286" s="6">
        <v>0.30123529411764705</v>
      </c>
      <c r="AC286" s="6">
        <v>18.038794117647058</v>
      </c>
      <c r="AD286" s="6">
        <v>8.5294117647058826E-2</v>
      </c>
      <c r="AE286" s="6">
        <v>0.2166176470588235</v>
      </c>
      <c r="AF286" s="6">
        <v>0.42494117647058821</v>
      </c>
      <c r="AG286" s="6">
        <v>5.6205882352941168E-2</v>
      </c>
      <c r="AH286" s="6">
        <v>0.69773529411764701</v>
      </c>
      <c r="AI286" s="6">
        <v>0.34664705882352942</v>
      </c>
      <c r="AJ286" s="6">
        <v>9.2802647058823524</v>
      </c>
    </row>
    <row r="287" spans="1:36" x14ac:dyDescent="0.25">
      <c r="A287" s="7" t="s">
        <v>353</v>
      </c>
      <c r="B287" s="27" t="s">
        <v>673</v>
      </c>
      <c r="C287" s="7" t="s">
        <v>261</v>
      </c>
      <c r="D287" s="7" t="s">
        <v>290</v>
      </c>
      <c r="E287" s="7">
        <v>6</v>
      </c>
      <c r="F287" s="8" t="s">
        <v>17</v>
      </c>
      <c r="G287" s="8" t="s">
        <v>1012</v>
      </c>
      <c r="H287" s="5">
        <f t="shared" si="4"/>
        <v>113.0800294117647</v>
      </c>
      <c r="I287" s="6">
        <v>8.2176470588235281E-2</v>
      </c>
      <c r="J287" s="6">
        <v>0.38664705882352934</v>
      </c>
      <c r="K287" s="6">
        <v>0.50355882352941173</v>
      </c>
      <c r="L287" s="6">
        <v>0</v>
      </c>
      <c r="M287" s="6">
        <v>0.15032352941176469</v>
      </c>
      <c r="N287" s="6">
        <v>23.155441176470585</v>
      </c>
      <c r="O287" s="6">
        <v>0.17570588235294116</v>
      </c>
      <c r="P287" s="6">
        <v>0.24111764705882349</v>
      </c>
      <c r="Q287" s="6">
        <v>1.4932647058823527</v>
      </c>
      <c r="R287" s="6">
        <v>0.30929411764705883</v>
      </c>
      <c r="S287" s="15">
        <v>17.125</v>
      </c>
      <c r="T287" s="15">
        <v>8.2000000000000003E-2</v>
      </c>
      <c r="U287" s="15">
        <v>0.127</v>
      </c>
      <c r="V287" s="6">
        <v>17.219823529411762</v>
      </c>
      <c r="W287" s="6">
        <v>2.1661470588235292</v>
      </c>
      <c r="X287" s="6">
        <v>19.263176470588235</v>
      </c>
      <c r="Y287" s="6">
        <v>0.2464117647058823</v>
      </c>
      <c r="Z287" s="6">
        <v>0.39702941176470585</v>
      </c>
      <c r="AA287" s="6">
        <v>8.6058823529411757E-2</v>
      </c>
      <c r="AB287" s="6">
        <v>0.24244117647058822</v>
      </c>
      <c r="AC287" s="6">
        <v>19.345735294117645</v>
      </c>
      <c r="AD287" s="6">
        <v>3.7794117647058818E-2</v>
      </c>
      <c r="AE287" s="6">
        <v>0.24185294117647055</v>
      </c>
      <c r="AF287" s="6">
        <v>0.28047058823529408</v>
      </c>
      <c r="AG287" s="6">
        <v>6.3794117647058821E-2</v>
      </c>
      <c r="AH287" s="6">
        <v>0.47155882352941175</v>
      </c>
      <c r="AI287" s="6">
        <v>0.42435294117647054</v>
      </c>
      <c r="AJ287" s="6">
        <v>8.7618529411764694</v>
      </c>
    </row>
    <row r="288" spans="1:36" x14ac:dyDescent="0.25">
      <c r="A288" s="8" t="s">
        <v>354</v>
      </c>
      <c r="B288" s="27" t="s">
        <v>674</v>
      </c>
      <c r="C288" s="8" t="s">
        <v>261</v>
      </c>
      <c r="D288" s="8" t="s">
        <v>292</v>
      </c>
      <c r="E288" s="8">
        <v>6</v>
      </c>
      <c r="F288" s="8" t="s">
        <v>17</v>
      </c>
      <c r="G288" s="8" t="s">
        <v>1012</v>
      </c>
      <c r="H288" s="5">
        <f t="shared" si="4"/>
        <v>312.20552941176464</v>
      </c>
      <c r="I288" s="6">
        <v>0.32885294117647057</v>
      </c>
      <c r="J288" s="6">
        <v>0.84564705882352931</v>
      </c>
      <c r="K288" s="6">
        <v>2.0411470588235292</v>
      </c>
      <c r="L288" s="6">
        <v>0</v>
      </c>
      <c r="M288" s="6">
        <v>0.58532352941176469</v>
      </c>
      <c r="N288" s="6">
        <v>73.073676470588225</v>
      </c>
      <c r="O288" s="6">
        <v>0.80370588235294116</v>
      </c>
      <c r="P288" s="6">
        <v>1.2819411764705881</v>
      </c>
      <c r="Q288" s="6">
        <v>5.8720588235294109</v>
      </c>
      <c r="R288" s="6">
        <v>0.74211764705882344</v>
      </c>
      <c r="S288" s="16">
        <v>39.290588235294116</v>
      </c>
      <c r="T288" s="16">
        <v>0.11208823529411763</v>
      </c>
      <c r="U288" s="16">
        <v>0.33047058823529407</v>
      </c>
      <c r="V288" s="6">
        <v>56.759323529411759</v>
      </c>
      <c r="W288" s="6">
        <v>6.2510882352941177</v>
      </c>
      <c r="X288" s="6">
        <v>53.804852941176463</v>
      </c>
      <c r="Y288" s="6">
        <v>1.0177647058823529</v>
      </c>
      <c r="Z288" s="6">
        <v>1.8367058823529412</v>
      </c>
      <c r="AA288" s="6">
        <v>0.21291176470588233</v>
      </c>
      <c r="AB288" s="6">
        <v>0.53579411764705875</v>
      </c>
      <c r="AC288" s="6">
        <v>43.040852941176468</v>
      </c>
      <c r="AD288" s="6">
        <v>0.13882352941176468</v>
      </c>
      <c r="AE288" s="6">
        <v>0.52982352941176469</v>
      </c>
      <c r="AF288" s="6">
        <v>0.85476470588235287</v>
      </c>
      <c r="AG288" s="6">
        <v>9.5588235294117641E-2</v>
      </c>
      <c r="AH288" s="6">
        <v>1.0318529411764705</v>
      </c>
      <c r="AI288" s="6">
        <v>0.92461764705882343</v>
      </c>
      <c r="AJ288" s="6">
        <v>19.863147058823529</v>
      </c>
    </row>
    <row r="289" spans="1:36" x14ac:dyDescent="0.25">
      <c r="A289" s="8" t="s">
        <v>355</v>
      </c>
      <c r="B289" s="27" t="s">
        <v>675</v>
      </c>
      <c r="C289" s="8" t="s">
        <v>261</v>
      </c>
      <c r="D289" s="8" t="s">
        <v>284</v>
      </c>
      <c r="E289" s="8">
        <v>6</v>
      </c>
      <c r="F289" s="8" t="s">
        <v>17</v>
      </c>
      <c r="G289" s="8" t="s">
        <v>1012</v>
      </c>
      <c r="H289" s="5">
        <f t="shared" si="4"/>
        <v>295.46661764705885</v>
      </c>
      <c r="I289" s="6">
        <v>0.2422941176470588</v>
      </c>
      <c r="J289" s="6">
        <v>1.3068235294117645</v>
      </c>
      <c r="K289" s="6">
        <v>1.612676470588235</v>
      </c>
      <c r="L289" s="6">
        <v>0</v>
      </c>
      <c r="M289" s="6">
        <v>0.44794117647058818</v>
      </c>
      <c r="N289" s="6">
        <v>70.389558823529399</v>
      </c>
      <c r="O289" s="6">
        <v>0.9130588235294117</v>
      </c>
      <c r="P289" s="6">
        <v>1.207205882352941</v>
      </c>
      <c r="Q289" s="6">
        <v>4.2719999999999994</v>
      </c>
      <c r="R289" s="6">
        <v>0.76758823529411757</v>
      </c>
      <c r="S289" s="16">
        <v>40.19705882352941</v>
      </c>
      <c r="T289" s="16">
        <v>0.15241176470588233</v>
      </c>
      <c r="U289" s="16">
        <v>0.32085294117647056</v>
      </c>
      <c r="V289" s="6">
        <v>33.957558823529411</v>
      </c>
      <c r="W289" s="6">
        <v>5.6657352941176464</v>
      </c>
      <c r="X289" s="6">
        <v>51.409617647058816</v>
      </c>
      <c r="Y289" s="6">
        <v>0.62873529411764695</v>
      </c>
      <c r="Z289" s="6">
        <v>0.95308823529411757</v>
      </c>
      <c r="AA289" s="6">
        <v>0.59361764705882347</v>
      </c>
      <c r="AB289" s="6">
        <v>0.79355882352941165</v>
      </c>
      <c r="AC289" s="6">
        <v>53.506558823529403</v>
      </c>
      <c r="AD289" s="6">
        <v>0.11994117647058822</v>
      </c>
      <c r="AE289" s="6">
        <v>1.265735294117647</v>
      </c>
      <c r="AF289" s="6">
        <v>0.6133235294117646</v>
      </c>
      <c r="AG289" s="6">
        <v>0.12249999999999998</v>
      </c>
      <c r="AH289" s="6">
        <v>0.99132352941176471</v>
      </c>
      <c r="AI289" s="6">
        <v>1.0164411764705881</v>
      </c>
      <c r="AJ289" s="6">
        <v>21.999411764705879</v>
      </c>
    </row>
    <row r="290" spans="1:36" x14ac:dyDescent="0.25">
      <c r="A290" s="8" t="s">
        <v>356</v>
      </c>
      <c r="B290" s="27" t="s">
        <v>676</v>
      </c>
      <c r="C290" s="8" t="s">
        <v>261</v>
      </c>
      <c r="D290" s="8" t="s">
        <v>286</v>
      </c>
      <c r="E290" s="8">
        <v>6</v>
      </c>
      <c r="F290" s="8" t="s">
        <v>17</v>
      </c>
      <c r="G290" s="8" t="s">
        <v>1012</v>
      </c>
      <c r="H290" s="5">
        <f t="shared" si="4"/>
        <v>280.56341176470579</v>
      </c>
      <c r="I290" s="6">
        <v>0.23717647058823529</v>
      </c>
      <c r="J290" s="6">
        <v>1.1921176470588235</v>
      </c>
      <c r="K290" s="6">
        <v>1.1501470588235294</v>
      </c>
      <c r="L290" s="6">
        <v>0</v>
      </c>
      <c r="M290" s="6">
        <v>0.39058823529411762</v>
      </c>
      <c r="N290" s="6">
        <v>62.498235294117649</v>
      </c>
      <c r="O290" s="6">
        <v>0.94499999999999984</v>
      </c>
      <c r="P290" s="6">
        <v>1.3417647058823527</v>
      </c>
      <c r="Q290" s="6">
        <v>3.0900588235294117</v>
      </c>
      <c r="R290" s="6">
        <v>0.88967647058823518</v>
      </c>
      <c r="S290" s="16">
        <v>42.821999999999996</v>
      </c>
      <c r="T290" s="16">
        <v>0.24797058823529408</v>
      </c>
      <c r="U290" s="16">
        <v>0.52094117647058824</v>
      </c>
      <c r="V290" s="6">
        <v>36.908058823529409</v>
      </c>
      <c r="W290" s="6">
        <v>7.0878235294117644</v>
      </c>
      <c r="X290" s="6">
        <v>44.814911764705876</v>
      </c>
      <c r="Y290" s="6">
        <v>0.51808823529411763</v>
      </c>
      <c r="Z290" s="6">
        <v>0.62944117647058817</v>
      </c>
      <c r="AA290" s="6">
        <v>0.24126470588235294</v>
      </c>
      <c r="AB290" s="6">
        <v>0.58629411764705874</v>
      </c>
      <c r="AC290" s="6">
        <v>53.060764705882349</v>
      </c>
      <c r="AD290" s="6">
        <v>7.3970588235294107E-2</v>
      </c>
      <c r="AE290" s="6">
        <v>0.64955882352941163</v>
      </c>
      <c r="AF290" s="6">
        <v>0.46852941176470586</v>
      </c>
      <c r="AG290" s="6">
        <v>0.10585294117647058</v>
      </c>
      <c r="AH290" s="6">
        <v>0.98411764705882343</v>
      </c>
      <c r="AI290" s="6">
        <v>1.3160294117647058</v>
      </c>
      <c r="AJ290" s="6">
        <v>17.793029411764703</v>
      </c>
    </row>
    <row r="291" spans="1:36" x14ac:dyDescent="0.25">
      <c r="A291" s="7" t="s">
        <v>357</v>
      </c>
      <c r="B291" s="27" t="s">
        <v>677</v>
      </c>
      <c r="C291" s="7" t="s">
        <v>261</v>
      </c>
      <c r="D291" s="7" t="s">
        <v>262</v>
      </c>
      <c r="E291" s="7">
        <v>0</v>
      </c>
      <c r="F291" s="7" t="s">
        <v>18</v>
      </c>
      <c r="G291" s="8" t="s">
        <v>1012</v>
      </c>
      <c r="H291" s="5">
        <f t="shared" si="4"/>
        <v>85.690852941176431</v>
      </c>
      <c r="I291" s="6">
        <v>5.0029411764705878E-2</v>
      </c>
      <c r="J291" s="6">
        <v>0.26597058823529407</v>
      </c>
      <c r="K291" s="6">
        <v>1.7818235294117646</v>
      </c>
      <c r="L291" s="6">
        <v>0</v>
      </c>
      <c r="M291" s="6">
        <v>0.15620588235294117</v>
      </c>
      <c r="N291" s="6">
        <v>28.452382352941171</v>
      </c>
      <c r="O291" s="6">
        <v>0</v>
      </c>
      <c r="P291" s="6">
        <v>0</v>
      </c>
      <c r="Q291" s="6">
        <v>4.1132058823529407</v>
      </c>
      <c r="R291" s="6">
        <v>0.15394117647058822</v>
      </c>
      <c r="S291" s="15">
        <v>9.1349999999999998</v>
      </c>
      <c r="T291" s="15">
        <v>0</v>
      </c>
      <c r="U291" s="15">
        <v>0</v>
      </c>
      <c r="V291" s="6">
        <v>17.415999999999997</v>
      </c>
      <c r="W291" s="6">
        <v>1.5271176470588235</v>
      </c>
      <c r="X291" s="6">
        <v>10.24820588235294</v>
      </c>
      <c r="Y291" s="6">
        <v>0.11997058823529411</v>
      </c>
      <c r="Z291" s="6">
        <v>0.32094117647058817</v>
      </c>
      <c r="AA291" s="6">
        <v>0.1847941176470588</v>
      </c>
      <c r="AB291" s="6">
        <v>0.32058823529411762</v>
      </c>
      <c r="AC291" s="6">
        <v>6.3302352941176467</v>
      </c>
      <c r="AD291" s="6">
        <v>1.4441176470588235E-2</v>
      </c>
      <c r="AE291" s="6">
        <v>0.27173529411764702</v>
      </c>
      <c r="AF291" s="6">
        <v>7.3117647058823523E-2</v>
      </c>
      <c r="AG291" s="6">
        <v>9.3911764705882347E-2</v>
      </c>
      <c r="AH291" s="6">
        <v>1.977705882352941</v>
      </c>
      <c r="AI291" s="6">
        <v>0.53691176470588231</v>
      </c>
      <c r="AJ291" s="6">
        <v>2.1466176470588234</v>
      </c>
    </row>
    <row r="292" spans="1:36" x14ac:dyDescent="0.25">
      <c r="A292" s="8" t="s">
        <v>358</v>
      </c>
      <c r="B292" s="27" t="s">
        <v>678</v>
      </c>
      <c r="C292" s="8" t="s">
        <v>261</v>
      </c>
      <c r="D292" s="8" t="s">
        <v>264</v>
      </c>
      <c r="E292" s="8">
        <v>1</v>
      </c>
      <c r="F292" s="8" t="s">
        <v>18</v>
      </c>
      <c r="G292" s="8" t="s">
        <v>1012</v>
      </c>
      <c r="H292" s="5">
        <f t="shared" si="4"/>
        <v>539.98941176470589</v>
      </c>
      <c r="I292" s="6">
        <v>0.72182352941176464</v>
      </c>
      <c r="J292" s="6">
        <v>3.641676470588235</v>
      </c>
      <c r="K292" s="6">
        <v>12.695852941176469</v>
      </c>
      <c r="L292" s="6">
        <v>0</v>
      </c>
      <c r="M292" s="6">
        <v>1.1318235294117647</v>
      </c>
      <c r="N292" s="6">
        <v>130.34717647058824</v>
      </c>
      <c r="O292" s="6">
        <v>1.9979117647058819</v>
      </c>
      <c r="P292" s="6">
        <v>11.004558823529411</v>
      </c>
      <c r="Q292" s="6">
        <v>13.111852941176469</v>
      </c>
      <c r="R292" s="6">
        <v>0.78964705882352937</v>
      </c>
      <c r="S292" s="16">
        <v>33.177176470588229</v>
      </c>
      <c r="T292" s="16">
        <v>0</v>
      </c>
      <c r="U292" s="16">
        <v>4.7058823529411766E-4</v>
      </c>
      <c r="V292" s="6">
        <v>230.46794117647056</v>
      </c>
      <c r="W292" s="6">
        <v>11.715499999999999</v>
      </c>
      <c r="X292" s="6">
        <v>50.131058823529408</v>
      </c>
      <c r="Y292" s="6">
        <v>0.42779411764705877</v>
      </c>
      <c r="Z292" s="6">
        <v>2.8459411764705882</v>
      </c>
      <c r="AA292" s="6">
        <v>1.6491176470588234</v>
      </c>
      <c r="AB292" s="6">
        <v>1.816029411764706</v>
      </c>
      <c r="AC292" s="6">
        <v>18.455323529411764</v>
      </c>
      <c r="AD292" s="6">
        <v>6.8088235294117644E-2</v>
      </c>
      <c r="AE292" s="6">
        <v>1.0367647058823528</v>
      </c>
      <c r="AF292" s="6">
        <v>0.1774705882352941</v>
      </c>
      <c r="AG292" s="6">
        <v>0.35126470588235292</v>
      </c>
      <c r="AH292" s="6">
        <v>5.4137941176470585</v>
      </c>
      <c r="AI292" s="6">
        <v>1.5502647058823527</v>
      </c>
      <c r="AJ292" s="6">
        <v>5.2630882352941173</v>
      </c>
    </row>
    <row r="293" spans="1:36" x14ac:dyDescent="0.25">
      <c r="A293" s="11" t="s">
        <v>359</v>
      </c>
      <c r="B293" s="27" t="s">
        <v>679</v>
      </c>
      <c r="C293" s="11" t="s">
        <v>261</v>
      </c>
      <c r="D293" s="11" t="s">
        <v>266</v>
      </c>
      <c r="E293" s="11">
        <v>1</v>
      </c>
      <c r="F293" s="11" t="s">
        <v>18</v>
      </c>
      <c r="G293" s="8" t="s">
        <v>1012</v>
      </c>
      <c r="H293" s="5">
        <f t="shared" si="4"/>
        <v>262.18455882352941</v>
      </c>
      <c r="I293" s="12">
        <v>0.25326470588235295</v>
      </c>
      <c r="J293" s="12">
        <v>0.98947058823529399</v>
      </c>
      <c r="K293" s="12">
        <v>4.7426176470588235</v>
      </c>
      <c r="L293" s="6">
        <v>0</v>
      </c>
      <c r="M293" s="12">
        <v>0.59488235294117642</v>
      </c>
      <c r="N293" s="12">
        <v>92.801441176470576</v>
      </c>
      <c r="O293" s="12">
        <v>9.2323529411764707E-2</v>
      </c>
      <c r="P293" s="12">
        <v>9.9558823529411755E-2</v>
      </c>
      <c r="Q293" s="12">
        <v>7.5990882352941167</v>
      </c>
      <c r="R293" s="12">
        <v>0.62255882352941172</v>
      </c>
      <c r="S293" s="16">
        <v>32.222764705882355</v>
      </c>
      <c r="T293" s="16">
        <v>6.4705882352941171E-4</v>
      </c>
      <c r="U293" s="16">
        <v>0</v>
      </c>
      <c r="V293" s="12">
        <v>42.893911764705884</v>
      </c>
      <c r="W293" s="12">
        <v>4.5146764705882347</v>
      </c>
      <c r="X293" s="12">
        <v>29.167147058823524</v>
      </c>
      <c r="Y293" s="12">
        <v>0.38461764705882351</v>
      </c>
      <c r="Z293" s="12">
        <v>0.71420588235294113</v>
      </c>
      <c r="AA293" s="12">
        <v>0.59291176470588225</v>
      </c>
      <c r="AB293" s="12">
        <v>0.94055882352941178</v>
      </c>
      <c r="AC293" s="12">
        <v>24.41055882352941</v>
      </c>
      <c r="AD293" s="12">
        <v>3.8647058823529409E-2</v>
      </c>
      <c r="AE293" s="12">
        <v>0.90585294117647053</v>
      </c>
      <c r="AF293" s="12">
        <v>0.14008823529411762</v>
      </c>
      <c r="AG293" s="12">
        <v>0.32611764705882351</v>
      </c>
      <c r="AH293" s="12">
        <v>7.4598235294117643</v>
      </c>
      <c r="AI293" s="12">
        <v>1.9081470588235292</v>
      </c>
      <c r="AJ293" s="12">
        <v>7.7686764705882352</v>
      </c>
    </row>
    <row r="294" spans="1:36" x14ac:dyDescent="0.25">
      <c r="A294" s="7" t="s">
        <v>360</v>
      </c>
      <c r="B294" s="27" t="s">
        <v>680</v>
      </c>
      <c r="C294" s="7" t="s">
        <v>261</v>
      </c>
      <c r="D294" s="7" t="s">
        <v>268</v>
      </c>
      <c r="E294" s="7">
        <v>1</v>
      </c>
      <c r="F294" s="7" t="s">
        <v>18</v>
      </c>
      <c r="G294" s="8" t="s">
        <v>1012</v>
      </c>
      <c r="H294" s="5">
        <f t="shared" si="4"/>
        <v>61.547735294117643</v>
      </c>
      <c r="I294" s="6">
        <v>3.1382352941176472E-2</v>
      </c>
      <c r="J294" s="6">
        <v>0.22141176470588234</v>
      </c>
      <c r="K294" s="6">
        <v>1.2383235294117647</v>
      </c>
      <c r="L294" s="6">
        <v>0</v>
      </c>
      <c r="M294" s="6">
        <v>0.12588235294117645</v>
      </c>
      <c r="N294" s="6">
        <v>22.054294117647057</v>
      </c>
      <c r="O294" s="6">
        <v>0</v>
      </c>
      <c r="P294" s="6">
        <v>1.688235294117647E-2</v>
      </c>
      <c r="Q294" s="6">
        <v>2.7051764705882353</v>
      </c>
      <c r="R294" s="6">
        <v>0.12305882352941176</v>
      </c>
      <c r="S294" s="15">
        <v>7.2880000000000003</v>
      </c>
      <c r="T294" s="15">
        <v>0</v>
      </c>
      <c r="U294" s="15">
        <v>0</v>
      </c>
      <c r="V294" s="3">
        <v>9.4276470588235295</v>
      </c>
      <c r="W294" s="3">
        <v>1.0338235294117646</v>
      </c>
      <c r="X294" s="3">
        <v>5.7509705882352939</v>
      </c>
      <c r="Y294" s="3">
        <v>9.4882352941176459E-2</v>
      </c>
      <c r="Z294" s="3">
        <v>0.14841176470588233</v>
      </c>
      <c r="AA294" s="3">
        <v>0.15914705882352939</v>
      </c>
      <c r="AB294" s="3">
        <v>0.19841176470588234</v>
      </c>
      <c r="AC294" s="3">
        <v>6.1178529411764702</v>
      </c>
      <c r="AD294" s="3">
        <v>7.3235294117647053E-3</v>
      </c>
      <c r="AE294" s="3">
        <v>0.25441176470588234</v>
      </c>
      <c r="AF294" s="3">
        <v>5.7794117647058822E-2</v>
      </c>
      <c r="AG294" s="3">
        <v>9.2735294117647055E-2</v>
      </c>
      <c r="AH294" s="3">
        <v>1.8741176470588234</v>
      </c>
      <c r="AI294" s="3">
        <v>0.5113823529411764</v>
      </c>
      <c r="AJ294" s="3">
        <v>2.0144117647058821</v>
      </c>
    </row>
    <row r="295" spans="1:36" x14ac:dyDescent="0.25">
      <c r="A295" s="7" t="s">
        <v>361</v>
      </c>
      <c r="B295" s="27" t="s">
        <v>681</v>
      </c>
      <c r="C295" s="7" t="s">
        <v>261</v>
      </c>
      <c r="D295" s="7" t="s">
        <v>270</v>
      </c>
      <c r="E295" s="7">
        <v>1</v>
      </c>
      <c r="F295" s="7" t="s">
        <v>18</v>
      </c>
      <c r="G295" s="8" t="s">
        <v>1012</v>
      </c>
      <c r="H295" s="5">
        <f t="shared" si="4"/>
        <v>50.216029411764701</v>
      </c>
      <c r="I295" s="6">
        <v>2.3205882352941173E-2</v>
      </c>
      <c r="J295" s="6">
        <v>0.18582352941176469</v>
      </c>
      <c r="K295" s="6">
        <v>0.7902941176470587</v>
      </c>
      <c r="L295" s="6">
        <v>0</v>
      </c>
      <c r="M295" s="6">
        <v>0.14338235294117646</v>
      </c>
      <c r="N295" s="6">
        <v>20.311176470588233</v>
      </c>
      <c r="O295" s="6">
        <v>6.2941176470588233E-3</v>
      </c>
      <c r="P295" s="6">
        <v>2.0470588235294115E-2</v>
      </c>
      <c r="Q295" s="6">
        <v>1.5915294117647059</v>
      </c>
      <c r="R295" s="6">
        <v>0.13608823529411762</v>
      </c>
      <c r="S295" s="15">
        <v>6.2430000000000003</v>
      </c>
      <c r="T295" s="15">
        <v>0</v>
      </c>
      <c r="U295" s="15">
        <v>0</v>
      </c>
      <c r="V295" s="6">
        <v>4.8562647058823529</v>
      </c>
      <c r="W295" s="6">
        <v>0.72214705882352936</v>
      </c>
      <c r="X295" s="6">
        <v>4.291617647058823</v>
      </c>
      <c r="Y295" s="6">
        <v>0.11555882352941176</v>
      </c>
      <c r="Z295" s="6">
        <v>5.2911764705882346E-2</v>
      </c>
      <c r="AA295" s="6">
        <v>0.17491176470588235</v>
      </c>
      <c r="AB295" s="6">
        <v>0.23394117647058821</v>
      </c>
      <c r="AC295" s="6">
        <v>5.6288529411764703</v>
      </c>
      <c r="AD295" s="6">
        <v>6.4705882352941177E-3</v>
      </c>
      <c r="AE295" s="6">
        <v>0.26397058823529407</v>
      </c>
      <c r="AF295" s="6">
        <v>4.7352941176470584E-2</v>
      </c>
      <c r="AG295" s="6">
        <v>0.11144117647058822</v>
      </c>
      <c r="AH295" s="6">
        <v>1.8882058823529408</v>
      </c>
      <c r="AI295" s="6">
        <v>0.5414411764705882</v>
      </c>
      <c r="AJ295" s="6">
        <v>1.8296764705882353</v>
      </c>
    </row>
    <row r="296" spans="1:36" x14ac:dyDescent="0.25">
      <c r="A296" s="7" t="s">
        <v>362</v>
      </c>
      <c r="B296" s="27" t="s">
        <v>682</v>
      </c>
      <c r="C296" s="7" t="s">
        <v>261</v>
      </c>
      <c r="D296" s="7" t="s">
        <v>272</v>
      </c>
      <c r="E296" s="7">
        <v>1</v>
      </c>
      <c r="F296" s="7" t="s">
        <v>18</v>
      </c>
      <c r="G296" s="8" t="s">
        <v>1012</v>
      </c>
      <c r="H296" s="5">
        <f t="shared" si="4"/>
        <v>67.377470588235312</v>
      </c>
      <c r="I296" s="6">
        <v>4.9000000000000002E-2</v>
      </c>
      <c r="J296" s="6">
        <v>0.30499999999999999</v>
      </c>
      <c r="K296" s="6">
        <v>1.4258823529411764</v>
      </c>
      <c r="L296" s="6">
        <v>0</v>
      </c>
      <c r="M296" s="6">
        <v>0.1696470588235294</v>
      </c>
      <c r="N296" s="6">
        <v>22.883588235294116</v>
      </c>
      <c r="O296" s="6">
        <v>1.2794117647058822E-2</v>
      </c>
      <c r="P296" s="6">
        <v>1.4E-2</v>
      </c>
      <c r="Q296" s="6">
        <v>3.0377941176470586</v>
      </c>
      <c r="R296" s="6">
        <v>0.13505882352941176</v>
      </c>
      <c r="S296" s="15">
        <v>7.2190000000000003</v>
      </c>
      <c r="T296" s="15">
        <v>0</v>
      </c>
      <c r="U296" s="15">
        <v>0</v>
      </c>
      <c r="V296" s="6">
        <v>12.441205882352941</v>
      </c>
      <c r="W296" s="6">
        <v>1.1908529411764706</v>
      </c>
      <c r="X296" s="6">
        <v>7.5248235294117638</v>
      </c>
      <c r="Y296" s="6">
        <v>0.12017647058823529</v>
      </c>
      <c r="Z296" s="6">
        <v>0.22091176470588234</v>
      </c>
      <c r="AA296" s="6">
        <v>0.15320588235294116</v>
      </c>
      <c r="AB296" s="6">
        <v>0.26076470588235295</v>
      </c>
      <c r="AC296" s="6">
        <v>5.7545588235294112</v>
      </c>
      <c r="AD296" s="6">
        <v>8.6176470588235285E-3</v>
      </c>
      <c r="AE296" s="6">
        <v>0.22488235294117645</v>
      </c>
      <c r="AF296" s="6">
        <v>5.2617647058823526E-2</v>
      </c>
      <c r="AG296" s="6">
        <v>8.6323529411764702E-2</v>
      </c>
      <c r="AH296" s="6">
        <v>1.7852058823529411</v>
      </c>
      <c r="AI296" s="6">
        <v>0.46544117647058819</v>
      </c>
      <c r="AJ296" s="6">
        <v>1.8361176470588232</v>
      </c>
    </row>
    <row r="297" spans="1:36" x14ac:dyDescent="0.25">
      <c r="A297" s="8" t="s">
        <v>363</v>
      </c>
      <c r="B297" s="27" t="s">
        <v>683</v>
      </c>
      <c r="C297" s="8" t="s">
        <v>261</v>
      </c>
      <c r="D297" s="8" t="s">
        <v>274</v>
      </c>
      <c r="E297" s="8">
        <v>2</v>
      </c>
      <c r="F297" s="7" t="s">
        <v>18</v>
      </c>
      <c r="G297" s="8" t="s">
        <v>1012</v>
      </c>
      <c r="H297" s="5">
        <f t="shared" si="4"/>
        <v>312.09982352941165</v>
      </c>
      <c r="I297" s="6">
        <v>0.3731176470588235</v>
      </c>
      <c r="J297" s="6">
        <v>2.6144999999999996</v>
      </c>
      <c r="K297" s="6">
        <v>4.6554411764705881</v>
      </c>
      <c r="L297" s="6">
        <v>0</v>
      </c>
      <c r="M297" s="6">
        <v>0.54470588235294115</v>
      </c>
      <c r="N297" s="6">
        <v>96.848764705882331</v>
      </c>
      <c r="O297" s="6">
        <v>0.53247058823529414</v>
      </c>
      <c r="P297" s="6">
        <v>3.663205882352941</v>
      </c>
      <c r="Q297" s="6">
        <v>6.6538529411764697</v>
      </c>
      <c r="R297" s="6">
        <v>0.59261764705882347</v>
      </c>
      <c r="S297" s="16">
        <v>32.773441176470584</v>
      </c>
      <c r="T297" s="16">
        <v>0</v>
      </c>
      <c r="U297" s="16">
        <v>0</v>
      </c>
      <c r="V297" s="6">
        <v>86.38829411764705</v>
      </c>
      <c r="W297" s="6">
        <v>5.2355</v>
      </c>
      <c r="X297" s="6">
        <v>24.838882352941177</v>
      </c>
      <c r="Y297" s="6">
        <v>0.38647058823529407</v>
      </c>
      <c r="Z297" s="6">
        <v>0.91782352941176459</v>
      </c>
      <c r="AA297" s="6">
        <v>0.92326470588235299</v>
      </c>
      <c r="AB297" s="6">
        <v>0.96217647058823519</v>
      </c>
      <c r="AC297" s="6">
        <v>24.279235294117644</v>
      </c>
      <c r="AD297" s="6">
        <v>3.8941176470588229E-2</v>
      </c>
      <c r="AE297" s="6">
        <v>1.0141470588235293</v>
      </c>
      <c r="AF297" s="6">
        <v>0.14270588235294115</v>
      </c>
      <c r="AG297" s="6">
        <v>0.34479411764705881</v>
      </c>
      <c r="AH297" s="6">
        <v>7.8588529411764707</v>
      </c>
      <c r="AI297" s="6">
        <v>2.0450294117647059</v>
      </c>
      <c r="AJ297" s="6">
        <v>7.4715882352941172</v>
      </c>
    </row>
    <row r="298" spans="1:36" x14ac:dyDescent="0.25">
      <c r="A298" s="7" t="s">
        <v>364</v>
      </c>
      <c r="B298" s="27" t="s">
        <v>684</v>
      </c>
      <c r="C298" s="7" t="s">
        <v>261</v>
      </c>
      <c r="D298" s="7" t="s">
        <v>278</v>
      </c>
      <c r="E298" s="7">
        <v>2</v>
      </c>
      <c r="F298" s="7" t="s">
        <v>18</v>
      </c>
      <c r="G298" s="8" t="s">
        <v>1012</v>
      </c>
      <c r="H298" s="5">
        <f t="shared" si="4"/>
        <v>49.682500000000005</v>
      </c>
      <c r="I298" s="6">
        <v>2.626470588235294E-2</v>
      </c>
      <c r="J298" s="6">
        <v>0.19488235294117645</v>
      </c>
      <c r="K298" s="6">
        <v>0.74882352941176467</v>
      </c>
      <c r="L298" s="6">
        <v>0</v>
      </c>
      <c r="M298" s="6">
        <v>0.15120588235294116</v>
      </c>
      <c r="N298" s="6">
        <v>20.06305882352941</v>
      </c>
      <c r="O298" s="6">
        <v>0</v>
      </c>
      <c r="P298" s="6">
        <v>0</v>
      </c>
      <c r="Q298" s="6">
        <v>1.4293529411764705</v>
      </c>
      <c r="R298" s="6">
        <v>0.13952941176470587</v>
      </c>
      <c r="S298" s="15">
        <v>6.2990000000000004</v>
      </c>
      <c r="T298" s="15">
        <v>0</v>
      </c>
      <c r="U298" s="15">
        <v>0</v>
      </c>
      <c r="V298" s="6">
        <v>4.5814999999999992</v>
      </c>
      <c r="W298" s="6">
        <v>0.69894117647058818</v>
      </c>
      <c r="X298" s="6">
        <v>4.5401176470588229</v>
      </c>
      <c r="Y298" s="6">
        <v>0.10570588235294116</v>
      </c>
      <c r="Z298" s="6">
        <v>5.6647058823529405E-2</v>
      </c>
      <c r="AA298" s="6">
        <v>0.16973529411764704</v>
      </c>
      <c r="AB298" s="6">
        <v>0.22191176470588234</v>
      </c>
      <c r="AC298" s="6">
        <v>5.5694999999999997</v>
      </c>
      <c r="AD298" s="6">
        <v>9.6470588235294114E-3</v>
      </c>
      <c r="AE298" s="6">
        <v>0.25438235294117645</v>
      </c>
      <c r="AF298" s="6">
        <v>4.3382352941176462E-2</v>
      </c>
      <c r="AG298" s="6">
        <v>0.10594117647058823</v>
      </c>
      <c r="AH298" s="6">
        <v>1.8340882352941175</v>
      </c>
      <c r="AI298" s="6">
        <v>0.51920588235294107</v>
      </c>
      <c r="AJ298" s="6">
        <v>1.9196764705882352</v>
      </c>
    </row>
    <row r="299" spans="1:36" x14ac:dyDescent="0.25">
      <c r="A299" s="7" t="s">
        <v>365</v>
      </c>
      <c r="B299" s="27" t="s">
        <v>685</v>
      </c>
      <c r="C299" s="7" t="s">
        <v>261</v>
      </c>
      <c r="D299" s="7" t="s">
        <v>280</v>
      </c>
      <c r="E299" s="7">
        <v>2</v>
      </c>
      <c r="F299" s="7" t="s">
        <v>18</v>
      </c>
      <c r="G299" s="8" t="s">
        <v>1012</v>
      </c>
      <c r="H299" s="5">
        <f t="shared" si="4"/>
        <v>135.38820588235291</v>
      </c>
      <c r="I299" s="6">
        <v>4.8705882352941168E-2</v>
      </c>
      <c r="J299" s="6">
        <v>0.30373529411764705</v>
      </c>
      <c r="K299" s="6">
        <v>2.5109705882352937</v>
      </c>
      <c r="L299" s="6">
        <v>0</v>
      </c>
      <c r="M299" s="6">
        <v>0.23429411764705879</v>
      </c>
      <c r="N299" s="6">
        <v>40.563823529411764</v>
      </c>
      <c r="O299" s="6">
        <v>4.8911764705882349E-2</v>
      </c>
      <c r="P299" s="6">
        <v>5.1323529411764705E-2</v>
      </c>
      <c r="Q299" s="6">
        <v>4.9660294117647057</v>
      </c>
      <c r="R299" s="6">
        <v>0.26544117647058818</v>
      </c>
      <c r="S299" s="15">
        <v>12.085000000000001</v>
      </c>
      <c r="T299" s="15">
        <v>0</v>
      </c>
      <c r="U299" s="15">
        <v>0</v>
      </c>
      <c r="V299" s="6">
        <v>34.592441176470587</v>
      </c>
      <c r="W299" s="6">
        <v>3.0772352941176466</v>
      </c>
      <c r="X299" s="6">
        <v>20.894147058823528</v>
      </c>
      <c r="Y299" s="6">
        <v>0.17629411764705882</v>
      </c>
      <c r="Z299" s="6">
        <v>0.62141176470588233</v>
      </c>
      <c r="AA299" s="6">
        <v>0.23655882352941174</v>
      </c>
      <c r="AB299" s="6">
        <v>0.58835294117647052</v>
      </c>
      <c r="AC299" s="6">
        <v>7.8504705882352939</v>
      </c>
      <c r="AD299" s="6">
        <v>1.7999999999999999E-2</v>
      </c>
      <c r="AE299" s="6">
        <v>0.29723529411764704</v>
      </c>
      <c r="AF299" s="6">
        <v>6.5617647058823531E-2</v>
      </c>
      <c r="AG299" s="6">
        <v>0.11976470588235293</v>
      </c>
      <c r="AH299" s="6">
        <v>2.3139705882352937</v>
      </c>
      <c r="AI299" s="6">
        <v>0.59652941176470586</v>
      </c>
      <c r="AJ299" s="6">
        <v>2.8619411764705882</v>
      </c>
    </row>
    <row r="300" spans="1:36" x14ac:dyDescent="0.25">
      <c r="A300" s="7" t="s">
        <v>366</v>
      </c>
      <c r="B300" s="27" t="s">
        <v>686</v>
      </c>
      <c r="C300" s="7" t="s">
        <v>261</v>
      </c>
      <c r="D300" s="7" t="s">
        <v>282</v>
      </c>
      <c r="E300" s="7">
        <v>2</v>
      </c>
      <c r="F300" s="7" t="s">
        <v>18</v>
      </c>
      <c r="G300" s="8" t="s">
        <v>1012</v>
      </c>
      <c r="H300" s="5">
        <f t="shared" si="4"/>
        <v>79.909235294117636</v>
      </c>
      <c r="I300" s="6">
        <v>3.8529411764705881E-2</v>
      </c>
      <c r="J300" s="6">
        <v>0.25873529411764706</v>
      </c>
      <c r="K300" s="6">
        <v>1.468</v>
      </c>
      <c r="L300" s="6">
        <v>0</v>
      </c>
      <c r="M300" s="6">
        <v>0.15008823529411763</v>
      </c>
      <c r="N300" s="6">
        <v>26.730294117647059</v>
      </c>
      <c r="O300" s="6">
        <v>1.9499999999999997E-2</v>
      </c>
      <c r="P300" s="6">
        <v>3.4117647058823523E-2</v>
      </c>
      <c r="Q300" s="6">
        <v>2.9282647058823525</v>
      </c>
      <c r="R300" s="6">
        <v>0.15814705882352939</v>
      </c>
      <c r="S300" s="15">
        <v>8.7899999999999991</v>
      </c>
      <c r="T300" s="15">
        <v>0</v>
      </c>
      <c r="U300" s="15">
        <v>0</v>
      </c>
      <c r="V300" s="6">
        <v>15.458764705882352</v>
      </c>
      <c r="W300" s="6">
        <v>1.5324705882352938</v>
      </c>
      <c r="X300" s="6">
        <v>9.1422352941176452</v>
      </c>
      <c r="Y300" s="6">
        <v>0.12858823529411764</v>
      </c>
      <c r="Z300" s="6">
        <v>0.23729411764705882</v>
      </c>
      <c r="AA300" s="6">
        <v>0.17526470588235291</v>
      </c>
      <c r="AB300" s="6">
        <v>0.32411764705882351</v>
      </c>
      <c r="AC300" s="6">
        <v>6.8609411764705879</v>
      </c>
      <c r="AD300" s="6">
        <v>1.2176470588235292E-2</v>
      </c>
      <c r="AE300" s="6">
        <v>0.26720588235294118</v>
      </c>
      <c r="AF300" s="6">
        <v>5.7441176470588225E-2</v>
      </c>
      <c r="AG300" s="6">
        <v>0.10602941176470587</v>
      </c>
      <c r="AH300" s="6">
        <v>2.1001470588235289</v>
      </c>
      <c r="AI300" s="6">
        <v>0.5633529411764705</v>
      </c>
      <c r="AJ300" s="6">
        <v>2.3675294117647057</v>
      </c>
    </row>
    <row r="301" spans="1:36" x14ac:dyDescent="0.25">
      <c r="A301" s="8" t="s">
        <v>367</v>
      </c>
      <c r="B301" s="27" t="s">
        <v>687</v>
      </c>
      <c r="C301" s="8" t="s">
        <v>261</v>
      </c>
      <c r="D301" s="8" t="s">
        <v>284</v>
      </c>
      <c r="E301" s="8">
        <v>6</v>
      </c>
      <c r="F301" s="7" t="s">
        <v>18</v>
      </c>
      <c r="G301" s="8" t="s">
        <v>1012</v>
      </c>
      <c r="H301" s="5">
        <f t="shared" si="4"/>
        <v>207.67132352941178</v>
      </c>
      <c r="I301" s="6">
        <v>0.18308823529411763</v>
      </c>
      <c r="J301" s="6">
        <v>0.84129411764705886</v>
      </c>
      <c r="K301" s="6">
        <v>3.2797647058823522</v>
      </c>
      <c r="L301" s="6">
        <v>0</v>
      </c>
      <c r="M301" s="6">
        <v>0.52658823529411758</v>
      </c>
      <c r="N301" s="6">
        <v>77.943558823529415</v>
      </c>
      <c r="O301" s="6">
        <v>0.33482352941176469</v>
      </c>
      <c r="P301" s="6">
        <v>0.4545294117647059</v>
      </c>
      <c r="Q301" s="6">
        <v>5.9063235294117646</v>
      </c>
      <c r="R301" s="6">
        <v>0.50120588235294117</v>
      </c>
      <c r="S301" s="16">
        <v>26.421529411764705</v>
      </c>
      <c r="T301" s="16">
        <v>2.3470588235294115E-2</v>
      </c>
      <c r="U301" s="16">
        <v>2.7588235294117643E-2</v>
      </c>
      <c r="V301" s="6">
        <v>23.250588235294114</v>
      </c>
      <c r="W301" s="6">
        <v>3.3504411764705884</v>
      </c>
      <c r="X301" s="6">
        <v>19.882264705882353</v>
      </c>
      <c r="Y301" s="6">
        <v>0.3535588235294117</v>
      </c>
      <c r="Z301" s="6">
        <v>0.43947058823529406</v>
      </c>
      <c r="AA301" s="6">
        <v>0.69952941176470584</v>
      </c>
      <c r="AB301" s="6">
        <v>0.90949999999999998</v>
      </c>
      <c r="AC301" s="6">
        <v>23.714029411764706</v>
      </c>
      <c r="AD301" s="6">
        <v>2.8823529411764703E-2</v>
      </c>
      <c r="AE301" s="6">
        <v>1.0403235294117648</v>
      </c>
      <c r="AF301" s="6">
        <v>0.1741470588235294</v>
      </c>
      <c r="AG301" s="6">
        <v>0.41438235294117642</v>
      </c>
      <c r="AH301" s="6">
        <v>7.5744999999999996</v>
      </c>
      <c r="AI301" s="6">
        <v>2.0969999999999995</v>
      </c>
      <c r="AJ301" s="6">
        <v>7.2990000000000004</v>
      </c>
    </row>
    <row r="302" spans="1:36" x14ac:dyDescent="0.25">
      <c r="A302" s="8" t="s">
        <v>368</v>
      </c>
      <c r="B302" s="27" t="s">
        <v>688</v>
      </c>
      <c r="C302" s="8" t="s">
        <v>261</v>
      </c>
      <c r="D302" s="8" t="s">
        <v>286</v>
      </c>
      <c r="E302" s="8">
        <v>6</v>
      </c>
      <c r="F302" s="7" t="s">
        <v>18</v>
      </c>
      <c r="G302" s="8" t="s">
        <v>1012</v>
      </c>
      <c r="H302" s="5">
        <f t="shared" si="4"/>
        <v>214.18061764705882</v>
      </c>
      <c r="I302" s="6">
        <v>0.1914411764705882</v>
      </c>
      <c r="J302" s="6">
        <v>0.86929411764705877</v>
      </c>
      <c r="K302" s="6">
        <v>4.1033529411764702</v>
      </c>
      <c r="L302" s="6">
        <v>0</v>
      </c>
      <c r="M302" s="6">
        <v>0.6009411764705882</v>
      </c>
      <c r="N302" s="6">
        <v>81.039941176470577</v>
      </c>
      <c r="O302" s="6">
        <v>0.38208823529411762</v>
      </c>
      <c r="P302" s="6">
        <v>0.53797058823529409</v>
      </c>
      <c r="Q302" s="6">
        <v>6.1364705882352935</v>
      </c>
      <c r="R302" s="6">
        <v>0.55235294117647049</v>
      </c>
      <c r="S302" s="16">
        <v>28.70455882352941</v>
      </c>
      <c r="T302" s="16">
        <v>3.0735294117647055E-2</v>
      </c>
      <c r="U302" s="16">
        <v>4.2352941176470586E-2</v>
      </c>
      <c r="V302" s="6">
        <v>26.795911764705878</v>
      </c>
      <c r="W302" s="6">
        <v>3.3240882352941177</v>
      </c>
      <c r="X302" s="6">
        <v>18.177294117647058</v>
      </c>
      <c r="Y302" s="6">
        <v>0.39667647058823524</v>
      </c>
      <c r="Z302" s="6">
        <v>0.38258823529411762</v>
      </c>
      <c r="AA302" s="6">
        <v>0.57958823529411763</v>
      </c>
      <c r="AB302" s="6">
        <v>0.75111764705882345</v>
      </c>
      <c r="AC302" s="6">
        <v>23.041970588235291</v>
      </c>
      <c r="AD302" s="6">
        <v>2.5147058823529411E-2</v>
      </c>
      <c r="AE302" s="6">
        <v>0.86611764705882355</v>
      </c>
      <c r="AF302" s="6">
        <v>0.11297058823529411</v>
      </c>
      <c r="AG302" s="6">
        <v>0.32061764705882351</v>
      </c>
      <c r="AH302" s="6">
        <v>7.7050882352941175</v>
      </c>
      <c r="AI302" s="6">
        <v>1.819264705882353</v>
      </c>
      <c r="AJ302" s="6">
        <v>6.6906764705882349</v>
      </c>
    </row>
    <row r="303" spans="1:36" x14ac:dyDescent="0.25">
      <c r="A303" s="7" t="s">
        <v>369</v>
      </c>
      <c r="B303" s="27" t="s">
        <v>689</v>
      </c>
      <c r="C303" s="7" t="s">
        <v>261</v>
      </c>
      <c r="D303" s="7" t="s">
        <v>288</v>
      </c>
      <c r="E303" s="7">
        <v>6</v>
      </c>
      <c r="F303" s="7" t="s">
        <v>18</v>
      </c>
      <c r="G303" s="8" t="s">
        <v>1012</v>
      </c>
      <c r="H303" s="5">
        <f t="shared" si="4"/>
        <v>123.32088235294118</v>
      </c>
      <c r="I303" s="6">
        <v>5.5470588235294105E-2</v>
      </c>
      <c r="J303" s="6">
        <v>0.30214705882352938</v>
      </c>
      <c r="K303" s="6">
        <v>2.6962647058823528</v>
      </c>
      <c r="L303" s="6">
        <v>0</v>
      </c>
      <c r="M303" s="6">
        <v>0.21705882352941175</v>
      </c>
      <c r="N303" s="6">
        <v>37.958735294117645</v>
      </c>
      <c r="O303" s="6">
        <v>0.10411764705882352</v>
      </c>
      <c r="P303" s="6">
        <v>0.12276470588235293</v>
      </c>
      <c r="Q303" s="6">
        <v>5.6203823529411761</v>
      </c>
      <c r="R303" s="6">
        <v>0.22908823529411762</v>
      </c>
      <c r="S303" s="15">
        <v>11.423</v>
      </c>
      <c r="T303" s="15">
        <v>0</v>
      </c>
      <c r="U303" s="15">
        <v>0</v>
      </c>
      <c r="V303" s="6">
        <v>32.922558823529407</v>
      </c>
      <c r="W303" s="6">
        <v>2.4995588235294117</v>
      </c>
      <c r="X303" s="6">
        <v>15.595764705882351</v>
      </c>
      <c r="Y303" s="6">
        <v>0.14594117647058821</v>
      </c>
      <c r="Z303" s="6">
        <v>0.50635294117647056</v>
      </c>
      <c r="AA303" s="6">
        <v>0.19967647058823529</v>
      </c>
      <c r="AB303" s="6">
        <v>0.47597058823529409</v>
      </c>
      <c r="AC303" s="6">
        <v>6.8814117647058817</v>
      </c>
      <c r="AD303" s="6">
        <v>1.0382352941176471E-2</v>
      </c>
      <c r="AE303" s="6">
        <v>0.23702941176470585</v>
      </c>
      <c r="AF303" s="6">
        <v>4.7382352941176466E-2</v>
      </c>
      <c r="AG303" s="6">
        <v>9.2999999999999999E-2</v>
      </c>
      <c r="AH303" s="6">
        <v>1.9801470588235293</v>
      </c>
      <c r="AI303" s="6">
        <v>0.4476470588235294</v>
      </c>
      <c r="AJ303" s="6">
        <v>2.5490294117647059</v>
      </c>
    </row>
    <row r="304" spans="1:36" x14ac:dyDescent="0.25">
      <c r="A304" s="7" t="s">
        <v>370</v>
      </c>
      <c r="B304" s="27" t="s">
        <v>690</v>
      </c>
      <c r="C304" s="7" t="s">
        <v>261</v>
      </c>
      <c r="D304" s="7" t="s">
        <v>290</v>
      </c>
      <c r="E304" s="7">
        <v>6</v>
      </c>
      <c r="F304" s="7" t="s">
        <v>18</v>
      </c>
      <c r="G304" s="8" t="s">
        <v>1012</v>
      </c>
      <c r="H304" s="5">
        <f t="shared" si="4"/>
        <v>52.533294117647031</v>
      </c>
      <c r="I304" s="6">
        <v>2.6499999999999999E-2</v>
      </c>
      <c r="J304" s="6">
        <v>0.18841176470588236</v>
      </c>
      <c r="K304" s="6">
        <v>0.84750000000000003</v>
      </c>
      <c r="L304" s="6">
        <v>0</v>
      </c>
      <c r="M304" s="6">
        <v>0.14644117647058821</v>
      </c>
      <c r="N304" s="6">
        <v>20.415882352941175</v>
      </c>
      <c r="O304" s="6">
        <v>5.6588235294117641E-2</v>
      </c>
      <c r="P304" s="6">
        <v>7.6764705882352943E-2</v>
      </c>
      <c r="Q304" s="6">
        <v>1.3719117647058823</v>
      </c>
      <c r="R304" s="6">
        <v>0.13014705882352939</v>
      </c>
      <c r="S304" s="15">
        <v>6.6710000000000003</v>
      </c>
      <c r="T304" s="15">
        <v>0</v>
      </c>
      <c r="U304" s="15">
        <v>0</v>
      </c>
      <c r="V304" s="6">
        <v>5.7526176470588224</v>
      </c>
      <c r="W304" s="6">
        <v>0.7672352941176469</v>
      </c>
      <c r="X304" s="6">
        <v>3.9553235294117646</v>
      </c>
      <c r="Y304" s="6">
        <v>0.10111764705882352</v>
      </c>
      <c r="Z304" s="6">
        <v>5.2117647058823525E-2</v>
      </c>
      <c r="AA304" s="6">
        <v>0.16102941176470587</v>
      </c>
      <c r="AB304" s="6">
        <v>0.19179411764705881</v>
      </c>
      <c r="AC304" s="6">
        <v>6.4389999999999992</v>
      </c>
      <c r="AD304" s="6">
        <v>6.3823529411764701E-3</v>
      </c>
      <c r="AE304" s="6">
        <v>0.25861764705882351</v>
      </c>
      <c r="AF304" s="6">
        <v>4.7147058823529403E-2</v>
      </c>
      <c r="AG304" s="6">
        <v>0.11055882352941175</v>
      </c>
      <c r="AH304" s="6">
        <v>2.0856764705882354</v>
      </c>
      <c r="AI304" s="6">
        <v>0.53770588235294114</v>
      </c>
      <c r="AJ304" s="6">
        <v>2.1358235294117645</v>
      </c>
    </row>
    <row r="305" spans="1:36" x14ac:dyDescent="0.25">
      <c r="A305" s="7" t="s">
        <v>371</v>
      </c>
      <c r="B305" s="27" t="s">
        <v>691</v>
      </c>
      <c r="C305" s="7" t="s">
        <v>261</v>
      </c>
      <c r="D305" s="7" t="s">
        <v>292</v>
      </c>
      <c r="E305" s="7">
        <v>6</v>
      </c>
      <c r="F305" s="7" t="s">
        <v>18</v>
      </c>
      <c r="G305" s="8" t="s">
        <v>1012</v>
      </c>
      <c r="H305" s="5">
        <f t="shared" si="4"/>
        <v>121.28355882352939</v>
      </c>
      <c r="I305" s="6">
        <v>5.2352941176470581E-2</v>
      </c>
      <c r="J305" s="6">
        <v>0.2757941176470588</v>
      </c>
      <c r="K305" s="6">
        <v>2.2631176470588232</v>
      </c>
      <c r="L305" s="6">
        <v>0</v>
      </c>
      <c r="M305" s="6">
        <v>0.15952941176470586</v>
      </c>
      <c r="N305" s="6">
        <v>35.076029411764708</v>
      </c>
      <c r="O305" s="6">
        <v>0.14755882352941174</v>
      </c>
      <c r="P305" s="6">
        <v>0.42149999999999993</v>
      </c>
      <c r="Q305" s="6">
        <v>5.1495588235294116</v>
      </c>
      <c r="R305" s="6">
        <v>0.18270588235294116</v>
      </c>
      <c r="S305" s="15">
        <v>10.728</v>
      </c>
      <c r="T305" s="15">
        <v>0</v>
      </c>
      <c r="U305" s="15">
        <v>0</v>
      </c>
      <c r="V305" s="6">
        <v>36.520705882352935</v>
      </c>
      <c r="W305" s="6">
        <v>2.7950882352941173</v>
      </c>
      <c r="X305" s="6">
        <v>14.342705882352941</v>
      </c>
      <c r="Y305" s="6">
        <v>0.1242941176470588</v>
      </c>
      <c r="Z305" s="6">
        <v>0.54094117647058815</v>
      </c>
      <c r="AA305" s="6">
        <v>0.2294411764705882</v>
      </c>
      <c r="AB305" s="6">
        <v>0.45844117647058824</v>
      </c>
      <c r="AC305" s="6">
        <v>6.634617647058823</v>
      </c>
      <c r="AD305" s="6">
        <v>1.3264705882352941E-2</v>
      </c>
      <c r="AE305" s="6">
        <v>0.27497058823529413</v>
      </c>
      <c r="AF305" s="6">
        <v>6.0911764705882346E-2</v>
      </c>
      <c r="AG305" s="6">
        <v>0.10138235294117647</v>
      </c>
      <c r="AH305" s="6">
        <v>1.9623823529411761</v>
      </c>
      <c r="AI305" s="6">
        <v>0.50955882352941173</v>
      </c>
      <c r="AJ305" s="6">
        <v>2.2587058823529409</v>
      </c>
    </row>
    <row r="306" spans="1:36" x14ac:dyDescent="0.25">
      <c r="A306" s="7" t="s">
        <v>372</v>
      </c>
      <c r="B306" s="27" t="s">
        <v>692</v>
      </c>
      <c r="C306" s="7" t="s">
        <v>261</v>
      </c>
      <c r="D306" s="7" t="s">
        <v>262</v>
      </c>
      <c r="E306" s="7">
        <v>0</v>
      </c>
      <c r="F306" s="7" t="s">
        <v>125</v>
      </c>
      <c r="G306" s="8" t="s">
        <v>995</v>
      </c>
      <c r="H306" s="5">
        <f t="shared" si="4"/>
        <v>63.16726470588236</v>
      </c>
      <c r="I306" s="6">
        <v>0.14685294117647057</v>
      </c>
      <c r="J306" s="6">
        <v>0.10444117647058823</v>
      </c>
      <c r="K306" s="6">
        <v>0.42549999999999993</v>
      </c>
      <c r="L306" s="6">
        <v>0</v>
      </c>
      <c r="M306" s="6">
        <v>0.10985294117647058</v>
      </c>
      <c r="N306" s="6">
        <v>13.131764705882352</v>
      </c>
      <c r="O306" s="6">
        <v>0</v>
      </c>
      <c r="P306" s="6">
        <v>0</v>
      </c>
      <c r="Q306" s="6">
        <v>1.5833529411764706</v>
      </c>
      <c r="R306" s="6">
        <v>0.14199999999999999</v>
      </c>
      <c r="S306" s="15">
        <v>7.6379999999999999</v>
      </c>
      <c r="T306" s="15">
        <v>0</v>
      </c>
      <c r="U306" s="15">
        <v>0</v>
      </c>
      <c r="V306" s="9">
        <v>7.7822941176470586</v>
      </c>
      <c r="W306" s="9">
        <v>1.1739999999999999</v>
      </c>
      <c r="X306" s="9">
        <v>15.492176470588234</v>
      </c>
      <c r="Y306" s="9">
        <v>0.25364705882352939</v>
      </c>
      <c r="Z306" s="9">
        <v>0.38632352941176468</v>
      </c>
      <c r="AA306" s="9">
        <v>6.1588235294117645E-2</v>
      </c>
      <c r="AB306" s="9">
        <v>0.12382352941176469</v>
      </c>
      <c r="AC306" s="9">
        <v>10.264411764705882</v>
      </c>
      <c r="AD306" s="9">
        <v>2.9735294117647054E-2</v>
      </c>
      <c r="AE306" s="9">
        <v>0.12405882352941176</v>
      </c>
      <c r="AF306" s="9">
        <v>0.433235294117647</v>
      </c>
      <c r="AG306" s="9">
        <v>2.9147058823529411E-2</v>
      </c>
      <c r="AH306" s="9">
        <v>0.12041176470588233</v>
      </c>
      <c r="AI306" s="9">
        <v>0.39570588235294113</v>
      </c>
      <c r="AJ306" s="9">
        <v>3.214941176470588</v>
      </c>
    </row>
    <row r="307" spans="1:36" x14ac:dyDescent="0.25">
      <c r="A307" s="8" t="s">
        <v>373</v>
      </c>
      <c r="B307" s="27" t="s">
        <v>693</v>
      </c>
      <c r="C307" s="8" t="s">
        <v>261</v>
      </c>
      <c r="D307" s="8" t="s">
        <v>264</v>
      </c>
      <c r="E307" s="8">
        <v>1</v>
      </c>
      <c r="F307" s="8" t="s">
        <v>125</v>
      </c>
      <c r="G307" s="8" t="s">
        <v>995</v>
      </c>
      <c r="H307" s="5">
        <f t="shared" si="4"/>
        <v>45.234558823529404</v>
      </c>
      <c r="I307" s="6">
        <v>1.0088235294117646E-2</v>
      </c>
      <c r="J307" s="6">
        <v>2.7470588235294115E-2</v>
      </c>
      <c r="K307" s="6">
        <v>0.18979411764705881</v>
      </c>
      <c r="L307" s="6">
        <v>0</v>
      </c>
      <c r="M307" s="6">
        <v>6.0764705882352943E-2</v>
      </c>
      <c r="N307" s="6">
        <v>9.9022647058823523</v>
      </c>
      <c r="O307" s="6">
        <v>0.15605882352941175</v>
      </c>
      <c r="P307" s="6">
        <v>0.20858823529411763</v>
      </c>
      <c r="Q307" s="6">
        <v>1.4504117647058823</v>
      </c>
      <c r="R307" s="6">
        <v>8.9499999999999982E-2</v>
      </c>
      <c r="S307" s="16">
        <v>3.500941176470588</v>
      </c>
      <c r="T307" s="16">
        <v>0</v>
      </c>
      <c r="U307" s="16">
        <v>6.1764705882352941E-4</v>
      </c>
      <c r="V307" s="6">
        <v>9.6289411764705868</v>
      </c>
      <c r="W307" s="6">
        <v>0.89470588235294113</v>
      </c>
      <c r="X307" s="6">
        <v>11.494999999999999</v>
      </c>
      <c r="Y307" s="6">
        <v>0.15017647058823527</v>
      </c>
      <c r="Z307" s="6">
        <v>0.42076470588235287</v>
      </c>
      <c r="AA307" s="6">
        <v>6.7911764705882352E-2</v>
      </c>
      <c r="AB307" s="6">
        <v>0.10908823529411764</v>
      </c>
      <c r="AC307" s="6">
        <v>4.895941176470588</v>
      </c>
      <c r="AD307" s="6">
        <v>3.0235294117647055E-2</v>
      </c>
      <c r="AE307" s="6">
        <v>8.6794117647058827E-2</v>
      </c>
      <c r="AF307" s="6">
        <v>0.10867647058823528</v>
      </c>
      <c r="AG307" s="6">
        <v>1.3235294117647057E-2</v>
      </c>
      <c r="AH307" s="6">
        <v>7.8647058823529403E-2</v>
      </c>
      <c r="AI307" s="6">
        <v>8.7176470588235286E-2</v>
      </c>
      <c r="AJ307" s="6">
        <v>1.5707647058823528</v>
      </c>
    </row>
    <row r="308" spans="1:36" x14ac:dyDescent="0.25">
      <c r="A308" s="8" t="s">
        <v>374</v>
      </c>
      <c r="B308" s="27" t="s">
        <v>694</v>
      </c>
      <c r="C308" s="8" t="s">
        <v>261</v>
      </c>
      <c r="D308" s="8" t="s">
        <v>266</v>
      </c>
      <c r="E308" s="8">
        <v>1</v>
      </c>
      <c r="F308" s="8" t="s">
        <v>125</v>
      </c>
      <c r="G308" s="8" t="s">
        <v>995</v>
      </c>
      <c r="H308" s="5">
        <f t="shared" si="4"/>
        <v>48.966176470588223</v>
      </c>
      <c r="I308" s="6">
        <v>1.1852941176470587E-2</v>
      </c>
      <c r="J308" s="6">
        <v>3.2088235294117647E-2</v>
      </c>
      <c r="K308" s="6">
        <v>0.18044117647058822</v>
      </c>
      <c r="L308" s="6">
        <v>0</v>
      </c>
      <c r="M308" s="6">
        <v>5.9558823529411761E-2</v>
      </c>
      <c r="N308" s="6">
        <v>9.6928529411764703</v>
      </c>
      <c r="O308" s="6">
        <v>0.3251470588235294</v>
      </c>
      <c r="P308" s="6">
        <v>0.32367647058823523</v>
      </c>
      <c r="Q308" s="6">
        <v>0.67285294117647054</v>
      </c>
      <c r="R308" s="6">
        <v>0.11579411764705883</v>
      </c>
      <c r="S308" s="16">
        <v>4.7243529411764698</v>
      </c>
      <c r="T308" s="16">
        <v>5.8823529411764708E-5</v>
      </c>
      <c r="U308" s="16">
        <v>1.529411764705882E-3</v>
      </c>
      <c r="V308" s="6">
        <v>11.31205882352941</v>
      </c>
      <c r="W308" s="6">
        <v>0.81291176470588233</v>
      </c>
      <c r="X308" s="6">
        <v>11.462588235294117</v>
      </c>
      <c r="Y308" s="6">
        <v>0.12723529411764706</v>
      </c>
      <c r="Z308" s="6">
        <v>0.33297058823529413</v>
      </c>
      <c r="AA308" s="6">
        <v>4.8058823529411765E-2</v>
      </c>
      <c r="AB308" s="6">
        <v>8.3411764705882352E-2</v>
      </c>
      <c r="AC308" s="6">
        <v>6.4985882352941173</v>
      </c>
      <c r="AD308" s="6">
        <v>1.9352941176470587E-2</v>
      </c>
      <c r="AE308" s="6">
        <v>5.0676470588235288E-2</v>
      </c>
      <c r="AF308" s="6">
        <v>9.5823529411764696E-2</v>
      </c>
      <c r="AG308" s="6">
        <v>1.2705882352941176E-2</v>
      </c>
      <c r="AH308" s="6">
        <v>9.908823529411763E-2</v>
      </c>
      <c r="AI308" s="6">
        <v>0.15241176470588233</v>
      </c>
      <c r="AJ308" s="6">
        <v>1.7180882352941174</v>
      </c>
    </row>
    <row r="309" spans="1:36" x14ac:dyDescent="0.25">
      <c r="A309" s="7" t="s">
        <v>375</v>
      </c>
      <c r="B309" s="27" t="s">
        <v>695</v>
      </c>
      <c r="C309" s="7" t="s">
        <v>261</v>
      </c>
      <c r="D309" s="7" t="s">
        <v>268</v>
      </c>
      <c r="E309" s="7">
        <v>1</v>
      </c>
      <c r="F309" s="7" t="s">
        <v>125</v>
      </c>
      <c r="G309" s="8" t="s">
        <v>995</v>
      </c>
      <c r="H309" s="5">
        <f t="shared" si="4"/>
        <v>111.90897058823529</v>
      </c>
      <c r="I309" s="6">
        <v>0.25647058823529412</v>
      </c>
      <c r="J309" s="6">
        <v>0.1871176470588235</v>
      </c>
      <c r="K309" s="6">
        <v>0.6445294117647058</v>
      </c>
      <c r="L309" s="6">
        <v>0</v>
      </c>
      <c r="M309" s="6">
        <v>0.1479705882352941</v>
      </c>
      <c r="N309" s="6">
        <v>22.42105882352941</v>
      </c>
      <c r="O309" s="6">
        <v>0.4486470588235294</v>
      </c>
      <c r="P309" s="6">
        <v>0.64794117647058813</v>
      </c>
      <c r="Q309" s="6">
        <v>2.4342941176470583</v>
      </c>
      <c r="R309" s="6">
        <v>0.23673529411764704</v>
      </c>
      <c r="S309" s="15">
        <v>10.337999999999999</v>
      </c>
      <c r="T309" s="15">
        <v>0</v>
      </c>
      <c r="U309" s="15">
        <v>0</v>
      </c>
      <c r="V309" s="9">
        <v>28.363323529411762</v>
      </c>
      <c r="W309" s="9">
        <v>2.4959411764705881</v>
      </c>
      <c r="X309" s="9">
        <v>23.065735294117644</v>
      </c>
      <c r="Y309" s="9">
        <v>0.24085294117647058</v>
      </c>
      <c r="Z309" s="9">
        <v>0.64373529411764707</v>
      </c>
      <c r="AA309" s="9">
        <v>0.10541176470588233</v>
      </c>
      <c r="AB309" s="9">
        <v>0.17488235294117646</v>
      </c>
      <c r="AC309" s="9">
        <v>13.498735294117646</v>
      </c>
      <c r="AD309" s="9">
        <v>5.1676470588235289E-2</v>
      </c>
      <c r="AE309" s="9">
        <v>0.12797058823529411</v>
      </c>
      <c r="AF309" s="9">
        <v>0.52885294117647053</v>
      </c>
      <c r="AG309" s="9">
        <v>2.8705882352941171E-2</v>
      </c>
      <c r="AH309" s="9">
        <v>0.18605882352941175</v>
      </c>
      <c r="AI309" s="9">
        <v>0.3891470588235294</v>
      </c>
      <c r="AJ309" s="9">
        <v>4.2451764705882349</v>
      </c>
    </row>
    <row r="310" spans="1:36" x14ac:dyDescent="0.25">
      <c r="A310" s="7" t="s">
        <v>376</v>
      </c>
      <c r="B310" s="27" t="s">
        <v>696</v>
      </c>
      <c r="C310" s="7" t="s">
        <v>261</v>
      </c>
      <c r="D310" s="7" t="s">
        <v>270</v>
      </c>
      <c r="E310" s="7">
        <v>1</v>
      </c>
      <c r="F310" s="7" t="s">
        <v>125</v>
      </c>
      <c r="G310" s="8" t="s">
        <v>995</v>
      </c>
      <c r="H310" s="5">
        <f t="shared" si="4"/>
        <v>93.217470588235287</v>
      </c>
      <c r="I310" s="6">
        <v>0.11405882352941177</v>
      </c>
      <c r="J310" s="6">
        <v>8.7147058823529411E-2</v>
      </c>
      <c r="K310" s="6">
        <v>0.29149999999999998</v>
      </c>
      <c r="L310" s="6">
        <v>0</v>
      </c>
      <c r="M310" s="6">
        <v>0.13832352941176471</v>
      </c>
      <c r="N310" s="6">
        <v>20.282235294117644</v>
      </c>
      <c r="O310" s="6">
        <v>0.42620588235294116</v>
      </c>
      <c r="P310" s="6">
        <v>0.66470588235294115</v>
      </c>
      <c r="Q310" s="6">
        <v>1.2919999999999998</v>
      </c>
      <c r="R310" s="6">
        <v>0.25676470588235295</v>
      </c>
      <c r="S310" s="15">
        <v>7.8879999999999999</v>
      </c>
      <c r="T310" s="15">
        <v>0</v>
      </c>
      <c r="U310" s="15">
        <v>0</v>
      </c>
      <c r="V310" s="9">
        <v>22.591235294117645</v>
      </c>
      <c r="W310" s="9">
        <v>1.5035588235294117</v>
      </c>
      <c r="X310" s="9">
        <v>24.86020588235294</v>
      </c>
      <c r="Y310" s="9">
        <v>0.39529411764705874</v>
      </c>
      <c r="Z310" s="9">
        <v>0.621470588235294</v>
      </c>
      <c r="AA310" s="9">
        <v>0.2392941176470588</v>
      </c>
      <c r="AB310" s="9">
        <v>0.26282352941176468</v>
      </c>
      <c r="AC310" s="9">
        <v>7.4366764705882344</v>
      </c>
      <c r="AD310" s="9">
        <v>5.4235294117647062E-2</v>
      </c>
      <c r="AE310" s="9">
        <v>0.20823529411764705</v>
      </c>
      <c r="AF310" s="9">
        <v>0.27767647058823525</v>
      </c>
      <c r="AG310" s="9">
        <v>3.8852941176470583E-2</v>
      </c>
      <c r="AH310" s="9">
        <v>0.17611764705882352</v>
      </c>
      <c r="AI310" s="9">
        <v>0.18135294117647058</v>
      </c>
      <c r="AJ310" s="9">
        <v>2.9294999999999995</v>
      </c>
    </row>
    <row r="311" spans="1:36" x14ac:dyDescent="0.25">
      <c r="A311" s="7" t="s">
        <v>377</v>
      </c>
      <c r="B311" s="27" t="s">
        <v>697</v>
      </c>
      <c r="C311" s="7" t="s">
        <v>261</v>
      </c>
      <c r="D311" s="7" t="s">
        <v>272</v>
      </c>
      <c r="E311" s="7">
        <v>1</v>
      </c>
      <c r="F311" s="7" t="s">
        <v>125</v>
      </c>
      <c r="G311" s="8" t="s">
        <v>995</v>
      </c>
      <c r="H311" s="5">
        <f t="shared" si="4"/>
        <v>67.205382352941186</v>
      </c>
      <c r="I311" s="6">
        <v>0.10108823529411763</v>
      </c>
      <c r="J311" s="6">
        <v>8.6852941176470577E-2</v>
      </c>
      <c r="K311" s="6">
        <v>0.40467647058823525</v>
      </c>
      <c r="L311" s="6">
        <v>0</v>
      </c>
      <c r="M311" s="6">
        <v>9.4852941176470584E-2</v>
      </c>
      <c r="N311" s="6">
        <v>12.778823529411765</v>
      </c>
      <c r="O311" s="6">
        <v>0.50691176470588228</v>
      </c>
      <c r="P311" s="6">
        <v>0.3296470588235294</v>
      </c>
      <c r="Q311" s="6">
        <v>1.4962352941176469</v>
      </c>
      <c r="R311" s="6">
        <v>0.16344117647058823</v>
      </c>
      <c r="S311" s="15">
        <v>6.6340000000000003</v>
      </c>
      <c r="T311" s="15">
        <v>0</v>
      </c>
      <c r="U311" s="15">
        <v>0</v>
      </c>
      <c r="V311" s="9">
        <v>15.748558823529411</v>
      </c>
      <c r="W311" s="9">
        <v>1.3609999999999998</v>
      </c>
      <c r="X311" s="9">
        <v>15.2265</v>
      </c>
      <c r="Y311" s="9">
        <v>0.22932352941176468</v>
      </c>
      <c r="Z311" s="9">
        <v>0.49564705882352939</v>
      </c>
      <c r="AA311" s="9">
        <v>7.5999999999999984E-2</v>
      </c>
      <c r="AB311" s="9">
        <v>0.14582352941176469</v>
      </c>
      <c r="AC311" s="9">
        <v>8.0696764705882345</v>
      </c>
      <c r="AD311" s="9">
        <v>3.1176470588235292E-2</v>
      </c>
      <c r="AE311" s="9">
        <v>8.6852941176470577E-2</v>
      </c>
      <c r="AF311" s="9">
        <v>0.26629411764705879</v>
      </c>
      <c r="AG311" s="9">
        <v>2.4088235294117643E-2</v>
      </c>
      <c r="AH311" s="9">
        <v>0.12482352941176469</v>
      </c>
      <c r="AI311" s="9">
        <v>0.24294117647058824</v>
      </c>
      <c r="AJ311" s="9">
        <v>2.4801470588235293</v>
      </c>
    </row>
    <row r="312" spans="1:36" x14ac:dyDescent="0.25">
      <c r="A312" s="8" t="s">
        <v>378</v>
      </c>
      <c r="B312" s="27" t="s">
        <v>698</v>
      </c>
      <c r="C312" s="8" t="s">
        <v>261</v>
      </c>
      <c r="D312" s="8" t="s">
        <v>274</v>
      </c>
      <c r="E312" s="8">
        <v>2</v>
      </c>
      <c r="F312" s="7" t="s">
        <v>125</v>
      </c>
      <c r="G312" s="8" t="s">
        <v>995</v>
      </c>
      <c r="H312" s="5">
        <f t="shared" si="4"/>
        <v>80.997411764705888</v>
      </c>
      <c r="I312" s="6">
        <v>1.4352941176470586E-2</v>
      </c>
      <c r="J312" s="6">
        <v>4.191176470588235E-2</v>
      </c>
      <c r="K312" s="6">
        <v>0.27061764705882352</v>
      </c>
      <c r="L312" s="6">
        <v>0</v>
      </c>
      <c r="M312" s="6">
        <v>9.5441176470588224E-2</v>
      </c>
      <c r="N312" s="6">
        <v>15.418941176470588</v>
      </c>
      <c r="O312" s="6">
        <v>0.56347058823529406</v>
      </c>
      <c r="P312" s="6">
        <v>0.92141176470588226</v>
      </c>
      <c r="Q312" s="6">
        <v>1.1055882352941175</v>
      </c>
      <c r="R312" s="6">
        <v>0.17285294117647057</v>
      </c>
      <c r="S312" s="16">
        <v>6.5734411764705882</v>
      </c>
      <c r="T312" s="16">
        <v>1.338235294117647E-2</v>
      </c>
      <c r="U312" s="16">
        <v>1.564705882352941E-2</v>
      </c>
      <c r="V312" s="6">
        <v>25.264088235294118</v>
      </c>
      <c r="W312" s="6">
        <v>1.4433823529411764</v>
      </c>
      <c r="X312" s="6">
        <v>17.185735294117645</v>
      </c>
      <c r="Y312" s="6">
        <v>0.16547058823529409</v>
      </c>
      <c r="Z312" s="6">
        <v>0.64244117647058818</v>
      </c>
      <c r="AA312" s="6">
        <v>8.9470588235294107E-2</v>
      </c>
      <c r="AB312" s="6">
        <v>0.15697058823529411</v>
      </c>
      <c r="AC312" s="6">
        <v>8.0148823529411768</v>
      </c>
      <c r="AD312" s="6">
        <v>3.0794117647058823E-2</v>
      </c>
      <c r="AE312" s="6">
        <v>6.9294117647058825E-2</v>
      </c>
      <c r="AF312" s="6">
        <v>0.14294117647058821</v>
      </c>
      <c r="AG312" s="6">
        <v>1.3088235294117645E-2</v>
      </c>
      <c r="AH312" s="6">
        <v>0.14458823529411763</v>
      </c>
      <c r="AI312" s="6">
        <v>0.16817647058823529</v>
      </c>
      <c r="AJ312" s="6">
        <v>2.2590294117647058</v>
      </c>
    </row>
    <row r="313" spans="1:36" x14ac:dyDescent="0.25">
      <c r="A313" s="8" t="s">
        <v>379</v>
      </c>
      <c r="B313" s="27" t="s">
        <v>699</v>
      </c>
      <c r="C313" s="8" t="s">
        <v>261</v>
      </c>
      <c r="D313" s="8" t="s">
        <v>276</v>
      </c>
      <c r="E313" s="8">
        <v>2</v>
      </c>
      <c r="F313" s="7" t="s">
        <v>125</v>
      </c>
      <c r="G313" s="8" t="s">
        <v>995</v>
      </c>
      <c r="H313" s="5">
        <f t="shared" si="4"/>
        <v>40.640882352941169</v>
      </c>
      <c r="I313" s="6">
        <v>7.9117647058823525E-3</v>
      </c>
      <c r="J313" s="6">
        <v>2.6382352941176471E-2</v>
      </c>
      <c r="K313" s="6">
        <v>0.18958823529411764</v>
      </c>
      <c r="L313" s="6">
        <v>0</v>
      </c>
      <c r="M313" s="6">
        <v>4.5558823529411763E-2</v>
      </c>
      <c r="N313" s="6">
        <v>7.4360882352941173</v>
      </c>
      <c r="O313" s="6">
        <v>0.30520588235294116</v>
      </c>
      <c r="P313" s="6">
        <v>0.38882352941176473</v>
      </c>
      <c r="Q313" s="6">
        <v>1.1960294117647059</v>
      </c>
      <c r="R313" s="6">
        <v>8.3676470588235283E-2</v>
      </c>
      <c r="S313" s="16">
        <v>2.9802647058823526</v>
      </c>
      <c r="T313" s="16">
        <v>2.5882352941176468E-3</v>
      </c>
      <c r="U313" s="16">
        <v>5.7352941176470581E-3</v>
      </c>
      <c r="V313" s="6">
        <v>12.953676470588235</v>
      </c>
      <c r="W313" s="6">
        <v>0.97529411764705876</v>
      </c>
      <c r="X313" s="6">
        <v>8.3814411764705863</v>
      </c>
      <c r="Y313" s="6">
        <v>0.10802941176470587</v>
      </c>
      <c r="Z313" s="6">
        <v>0.32135294117647056</v>
      </c>
      <c r="AA313" s="6">
        <v>6.8176470588235283E-2</v>
      </c>
      <c r="AB313" s="6">
        <v>0.11738235294117647</v>
      </c>
      <c r="AC313" s="6">
        <v>3.6947647058823523</v>
      </c>
      <c r="AD313" s="6">
        <v>1.8441176470588235E-2</v>
      </c>
      <c r="AE313" s="6">
        <v>4.6176470588235284E-2</v>
      </c>
      <c r="AF313" s="6">
        <v>8.011764705882353E-2</v>
      </c>
      <c r="AG313" s="6">
        <v>1.0205882352941176E-2</v>
      </c>
      <c r="AH313" s="6">
        <v>7.6588235294117638E-2</v>
      </c>
      <c r="AI313" s="6">
        <v>7.8352941176470584E-2</v>
      </c>
      <c r="AJ313" s="6">
        <v>1.0430294117647059</v>
      </c>
    </row>
    <row r="314" spans="1:36" x14ac:dyDescent="0.25">
      <c r="A314" s="7" t="s">
        <v>380</v>
      </c>
      <c r="B314" s="27" t="s">
        <v>700</v>
      </c>
      <c r="C314" s="7" t="s">
        <v>261</v>
      </c>
      <c r="D314" s="7" t="s">
        <v>278</v>
      </c>
      <c r="E314" s="7">
        <v>2</v>
      </c>
      <c r="F314" s="7" t="s">
        <v>125</v>
      </c>
      <c r="G314" s="8" t="s">
        <v>995</v>
      </c>
      <c r="H314" s="5">
        <f t="shared" si="4"/>
        <v>70.560235294117646</v>
      </c>
      <c r="I314" s="6">
        <v>0.11552941176470588</v>
      </c>
      <c r="J314" s="6">
        <v>8.0205882352941169E-2</v>
      </c>
      <c r="K314" s="6">
        <v>0.20976470588235291</v>
      </c>
      <c r="L314" s="6">
        <v>0</v>
      </c>
      <c r="M314" s="6">
        <v>0.11155882352941175</v>
      </c>
      <c r="N314" s="6">
        <v>15.440529411764706</v>
      </c>
      <c r="O314" s="6">
        <v>5.4617647058823521E-2</v>
      </c>
      <c r="P314" s="6">
        <v>5.6117647058823522E-2</v>
      </c>
      <c r="Q314" s="6">
        <v>0.59708823529411759</v>
      </c>
      <c r="R314" s="6">
        <v>0.24226470588235291</v>
      </c>
      <c r="S314" s="15">
        <v>8.3049999999999997</v>
      </c>
      <c r="T314" s="15">
        <v>0</v>
      </c>
      <c r="U314" s="15">
        <v>0</v>
      </c>
      <c r="V314" s="9">
        <v>6.2847647058823526</v>
      </c>
      <c r="W314" s="9">
        <v>0.75991176470588229</v>
      </c>
      <c r="X314" s="9">
        <v>23.135529411764704</v>
      </c>
      <c r="Y314" s="9">
        <v>0.26329411764705879</v>
      </c>
      <c r="Z314" s="9">
        <v>0.35961764705882349</v>
      </c>
      <c r="AA314" s="9">
        <v>0.14811764705882352</v>
      </c>
      <c r="AB314" s="9">
        <v>0.13476470588235293</v>
      </c>
      <c r="AC314" s="9">
        <v>9.8676176470588217</v>
      </c>
      <c r="AD314" s="9">
        <v>2.8735294117647053E-2</v>
      </c>
      <c r="AE314" s="9">
        <v>0.23902941176470585</v>
      </c>
      <c r="AF314" s="9">
        <v>0.1771764705882353</v>
      </c>
      <c r="AG314" s="9">
        <v>2.5470588235294113E-2</v>
      </c>
      <c r="AH314" s="9">
        <v>0.13117647058823528</v>
      </c>
      <c r="AI314" s="9">
        <v>0.26329411764705879</v>
      </c>
      <c r="AJ314" s="9">
        <v>3.5290588235294118</v>
      </c>
    </row>
    <row r="315" spans="1:36" x14ac:dyDescent="0.25">
      <c r="A315" s="7" t="s">
        <v>381</v>
      </c>
      <c r="B315" s="27" t="s">
        <v>701</v>
      </c>
      <c r="C315" s="7" t="s">
        <v>261</v>
      </c>
      <c r="D315" s="7" t="s">
        <v>280</v>
      </c>
      <c r="E315" s="7">
        <v>2</v>
      </c>
      <c r="F315" s="7" t="s">
        <v>125</v>
      </c>
      <c r="G315" s="8" t="s">
        <v>995</v>
      </c>
      <c r="H315" s="5">
        <f t="shared" si="4"/>
        <v>95.08985294117646</v>
      </c>
      <c r="I315" s="6">
        <v>0.17149999999999999</v>
      </c>
      <c r="J315" s="6">
        <v>0.14726470588235294</v>
      </c>
      <c r="K315" s="6">
        <v>0.41123529411764703</v>
      </c>
      <c r="L315" s="6">
        <v>0</v>
      </c>
      <c r="M315" s="6">
        <v>0.12073529411764705</v>
      </c>
      <c r="N315" s="6">
        <v>17.681882352941177</v>
      </c>
      <c r="O315" s="6">
        <v>0.54082352941176459</v>
      </c>
      <c r="P315" s="6">
        <v>0.5912647058823528</v>
      </c>
      <c r="Q315" s="6">
        <v>1.2679117647058822</v>
      </c>
      <c r="R315" s="6">
        <v>0.20676470588235293</v>
      </c>
      <c r="S315" s="15">
        <v>11.406000000000001</v>
      </c>
      <c r="T315" s="15">
        <v>0</v>
      </c>
      <c r="U315" s="15">
        <v>0</v>
      </c>
      <c r="V315" s="9">
        <v>19.133970588235293</v>
      </c>
      <c r="W315" s="9">
        <v>1.4435</v>
      </c>
      <c r="X315" s="9">
        <v>20.163058823529408</v>
      </c>
      <c r="Y315" s="9">
        <v>0.30317647058823527</v>
      </c>
      <c r="Z315" s="9">
        <v>0.46382352941176469</v>
      </c>
      <c r="AA315" s="9">
        <v>0.11167647058823528</v>
      </c>
      <c r="AB315" s="9">
        <v>0.12079411764705882</v>
      </c>
      <c r="AC315" s="9">
        <v>15.895617647058822</v>
      </c>
      <c r="AD315" s="9">
        <v>2.502941176470588E-2</v>
      </c>
      <c r="AE315" s="9">
        <v>0.13402941176470587</v>
      </c>
      <c r="AF315" s="9">
        <v>0.31917647058823528</v>
      </c>
      <c r="AG315" s="9">
        <v>2.5970588235294113E-2</v>
      </c>
      <c r="AH315" s="9">
        <v>0.15326470588235291</v>
      </c>
      <c r="AI315" s="9">
        <v>0.35776470588235293</v>
      </c>
      <c r="AJ315" s="9">
        <v>3.8936176470588233</v>
      </c>
    </row>
    <row r="316" spans="1:36" x14ac:dyDescent="0.25">
      <c r="A316" s="7" t="s">
        <v>382</v>
      </c>
      <c r="B316" s="27" t="s">
        <v>702</v>
      </c>
      <c r="C316" s="7" t="s">
        <v>261</v>
      </c>
      <c r="D316" s="7" t="s">
        <v>282</v>
      </c>
      <c r="E316" s="7">
        <v>2</v>
      </c>
      <c r="F316" s="7" t="s">
        <v>125</v>
      </c>
      <c r="G316" s="8" t="s">
        <v>995</v>
      </c>
      <c r="H316" s="5">
        <f t="shared" si="4"/>
        <v>51.454147058823523</v>
      </c>
      <c r="I316" s="6">
        <v>6.5264705882352947E-2</v>
      </c>
      <c r="J316" s="6">
        <v>4.8441176470588231E-2</v>
      </c>
      <c r="K316" s="6">
        <v>0.23</v>
      </c>
      <c r="L316" s="6">
        <v>0</v>
      </c>
      <c r="M316" s="6">
        <v>6.5735294117647045E-2</v>
      </c>
      <c r="N316" s="6">
        <v>9.7807058823529403</v>
      </c>
      <c r="O316" s="6">
        <v>0.15797058823529411</v>
      </c>
      <c r="P316" s="6">
        <v>0.1736470588235294</v>
      </c>
      <c r="Q316" s="6">
        <v>0.78299999999999992</v>
      </c>
      <c r="R316" s="6">
        <v>0.11838235294117647</v>
      </c>
      <c r="S316" s="15">
        <v>6.1710000000000003</v>
      </c>
      <c r="T316" s="15">
        <v>0</v>
      </c>
      <c r="U316" s="15">
        <v>0</v>
      </c>
      <c r="V316" s="9">
        <v>8.6061470588235292</v>
      </c>
      <c r="W316" s="9">
        <v>0.753</v>
      </c>
      <c r="X316" s="9">
        <v>11.553764705882353</v>
      </c>
      <c r="Y316" s="9">
        <v>0.18402941176470586</v>
      </c>
      <c r="Z316" s="9">
        <v>0.24970588235294117</v>
      </c>
      <c r="AA316" s="9">
        <v>5.4941176470588229E-2</v>
      </c>
      <c r="AB316" s="9">
        <v>7.144117647058823E-2</v>
      </c>
      <c r="AC316" s="9">
        <v>9.3435882352941171</v>
      </c>
      <c r="AD316" s="9">
        <v>1.4911764705882352E-2</v>
      </c>
      <c r="AE316" s="9">
        <v>8.3647058823529408E-2</v>
      </c>
      <c r="AF316" s="9">
        <v>0.18682352941176467</v>
      </c>
      <c r="AG316" s="9">
        <v>1.538235294117647E-2</v>
      </c>
      <c r="AH316" s="9">
        <v>8.7970588235294106E-2</v>
      </c>
      <c r="AI316" s="9">
        <v>0.27364705882352941</v>
      </c>
      <c r="AJ316" s="9">
        <v>2.3809999999999998</v>
      </c>
    </row>
    <row r="317" spans="1:36" x14ac:dyDescent="0.25">
      <c r="A317" s="8" t="s">
        <v>383</v>
      </c>
      <c r="B317" s="27" t="s">
        <v>703</v>
      </c>
      <c r="C317" s="8" t="s">
        <v>261</v>
      </c>
      <c r="D317" s="8" t="s">
        <v>284</v>
      </c>
      <c r="E317" s="8">
        <v>6</v>
      </c>
      <c r="F317" s="7" t="s">
        <v>125</v>
      </c>
      <c r="G317" s="8" t="s">
        <v>995</v>
      </c>
      <c r="H317" s="5">
        <f t="shared" si="4"/>
        <v>40.538117647058812</v>
      </c>
      <c r="I317" s="6">
        <v>9.9117647058823526E-3</v>
      </c>
      <c r="J317" s="6">
        <v>2.7529411764705882E-2</v>
      </c>
      <c r="K317" s="6">
        <v>0.14188235294117646</v>
      </c>
      <c r="L317" s="6">
        <v>0</v>
      </c>
      <c r="M317" s="6">
        <v>5.7676470588235287E-2</v>
      </c>
      <c r="N317" s="6">
        <v>8.4953235294117633</v>
      </c>
      <c r="O317" s="6">
        <v>0.16302941176470587</v>
      </c>
      <c r="P317" s="6">
        <v>0.21852941176470589</v>
      </c>
      <c r="Q317" s="6">
        <v>0.67455882352941166</v>
      </c>
      <c r="R317" s="6">
        <v>9.3970588235294111E-2</v>
      </c>
      <c r="S317" s="16">
        <v>4.0122352941176471</v>
      </c>
      <c r="T317" s="16">
        <v>1.8588235294117645E-2</v>
      </c>
      <c r="U317" s="16">
        <v>3.3735294117647051E-2</v>
      </c>
      <c r="V317" s="6">
        <v>5.4703235294117638</v>
      </c>
      <c r="W317" s="6">
        <v>0.62864705882352945</v>
      </c>
      <c r="X317" s="6">
        <v>10.587676470588235</v>
      </c>
      <c r="Y317" s="6">
        <v>0.11567647058823527</v>
      </c>
      <c r="Z317" s="6">
        <v>0.19447058823529409</v>
      </c>
      <c r="AA317" s="6">
        <v>6.1352941176470582E-2</v>
      </c>
      <c r="AB317" s="6">
        <v>9.0617647058823525E-2</v>
      </c>
      <c r="AC317" s="6">
        <v>6.9887941176470578</v>
      </c>
      <c r="AD317" s="6">
        <v>1.5411764705882351E-2</v>
      </c>
      <c r="AE317" s="6">
        <v>0.10014705882352939</v>
      </c>
      <c r="AF317" s="6">
        <v>0.12691176470588234</v>
      </c>
      <c r="AG317" s="6">
        <v>1.211764705882353E-2</v>
      </c>
      <c r="AH317" s="6">
        <v>7.9147058823529404E-2</v>
      </c>
      <c r="AI317" s="6">
        <v>0.15226470588235291</v>
      </c>
      <c r="AJ317" s="6">
        <v>1.9675882352941176</v>
      </c>
    </row>
    <row r="318" spans="1:36" x14ac:dyDescent="0.25">
      <c r="A318" s="8" t="s">
        <v>384</v>
      </c>
      <c r="B318" s="27" t="s">
        <v>704</v>
      </c>
      <c r="C318" s="8" t="s">
        <v>261</v>
      </c>
      <c r="D318" s="8" t="s">
        <v>286</v>
      </c>
      <c r="E318" s="8">
        <v>6</v>
      </c>
      <c r="F318" s="7" t="s">
        <v>125</v>
      </c>
      <c r="G318" s="8" t="s">
        <v>995</v>
      </c>
      <c r="H318" s="5">
        <f t="shared" si="4"/>
        <v>26.01402941176471</v>
      </c>
      <c r="I318" s="6">
        <v>1.0794117647058822E-2</v>
      </c>
      <c r="J318" s="6">
        <v>2.8911764705882352E-2</v>
      </c>
      <c r="K318" s="6">
        <v>0.10894117647058822</v>
      </c>
      <c r="L318" s="6">
        <v>0</v>
      </c>
      <c r="M318" s="6">
        <v>3.5941176470588233E-2</v>
      </c>
      <c r="N318" s="6">
        <v>4.9249999999999998</v>
      </c>
      <c r="O318" s="6">
        <v>0.11979411764705881</v>
      </c>
      <c r="P318" s="6">
        <v>0.20041176470588234</v>
      </c>
      <c r="Q318" s="6">
        <v>0.32644117647058823</v>
      </c>
      <c r="R318" s="6">
        <v>6.9529411764705881E-2</v>
      </c>
      <c r="S318" s="16">
        <v>3.0001764705882348</v>
      </c>
      <c r="T318" s="16">
        <v>1.4617647058823527E-2</v>
      </c>
      <c r="U318" s="16">
        <v>3.0764705882352941E-2</v>
      </c>
      <c r="V318" s="6">
        <v>6.3955882352941176</v>
      </c>
      <c r="W318" s="6">
        <v>0.53020588235294119</v>
      </c>
      <c r="X318" s="6">
        <v>5.8420294117647051</v>
      </c>
      <c r="Y318" s="6">
        <v>4.0117647058823522E-2</v>
      </c>
      <c r="Z318" s="6">
        <v>0.13220588235294115</v>
      </c>
      <c r="AA318" s="6">
        <v>4.4558823529411762E-2</v>
      </c>
      <c r="AB318" s="6">
        <v>5.6735294117647057E-2</v>
      </c>
      <c r="AC318" s="6">
        <v>3.2782058823529407</v>
      </c>
      <c r="AD318" s="6">
        <v>7.4411764705882349E-3</v>
      </c>
      <c r="AE318" s="6">
        <v>3.7852941176470582E-2</v>
      </c>
      <c r="AF318" s="6">
        <v>4.1617647058823523E-2</v>
      </c>
      <c r="AG318" s="6">
        <v>1.1264705882352941E-2</v>
      </c>
      <c r="AH318" s="6">
        <v>3.6794117647058824E-2</v>
      </c>
      <c r="AI318" s="6">
        <v>9.4470588235294112E-2</v>
      </c>
      <c r="AJ318" s="6">
        <v>0.59361764705882347</v>
      </c>
    </row>
    <row r="319" spans="1:36" x14ac:dyDescent="0.25">
      <c r="A319" s="7" t="s">
        <v>385</v>
      </c>
      <c r="B319" s="27" t="s">
        <v>705</v>
      </c>
      <c r="C319" s="7" t="s">
        <v>261</v>
      </c>
      <c r="D319" s="7" t="s">
        <v>290</v>
      </c>
      <c r="E319" s="7">
        <v>6</v>
      </c>
      <c r="F319" s="7" t="s">
        <v>125</v>
      </c>
      <c r="G319" s="8" t="s">
        <v>995</v>
      </c>
      <c r="H319" s="5">
        <f t="shared" si="4"/>
        <v>60.923735294117641</v>
      </c>
      <c r="I319" s="6">
        <v>0.19517647058823528</v>
      </c>
      <c r="J319" s="6">
        <v>0.11829411764705881</v>
      </c>
      <c r="K319" s="6">
        <v>0.34361764705882353</v>
      </c>
      <c r="L319" s="6">
        <v>0</v>
      </c>
      <c r="M319" s="6">
        <v>0.10352941176470588</v>
      </c>
      <c r="N319" s="6">
        <v>11.987499999999999</v>
      </c>
      <c r="O319" s="6">
        <v>0.15791176470588233</v>
      </c>
      <c r="P319" s="6">
        <v>0.18111764705882352</v>
      </c>
      <c r="Q319" s="6">
        <v>0.84335294117647053</v>
      </c>
      <c r="R319" s="6">
        <v>0.16261764705882351</v>
      </c>
      <c r="S319" s="15">
        <v>7.3929999999999998</v>
      </c>
      <c r="T319" s="15">
        <v>3.9E-2</v>
      </c>
      <c r="U319" s="15">
        <v>5.0999999999999997E-2</v>
      </c>
      <c r="V319" s="9">
        <v>8.074588235294117</v>
      </c>
      <c r="W319" s="9">
        <v>0.81885294117647045</v>
      </c>
      <c r="X319" s="9">
        <v>13.952235294117646</v>
      </c>
      <c r="Y319" s="9">
        <v>0.16661764705882351</v>
      </c>
      <c r="Z319" s="9">
        <v>0.24326470588235294</v>
      </c>
      <c r="AA319" s="9">
        <v>5.4088235294117645E-2</v>
      </c>
      <c r="AB319" s="9">
        <v>9.2705882352941166E-2</v>
      </c>
      <c r="AC319" s="9">
        <v>11.91505882352941</v>
      </c>
      <c r="AD319" s="9">
        <v>2.4441176470588234E-2</v>
      </c>
      <c r="AE319" s="9">
        <v>0.10452941176470588</v>
      </c>
      <c r="AF319" s="9">
        <v>0.21964705882352939</v>
      </c>
      <c r="AG319" s="9">
        <v>2.3147058823529409E-2</v>
      </c>
      <c r="AH319" s="9">
        <v>0.11541176470588234</v>
      </c>
      <c r="AI319" s="9">
        <v>0.31141176470588233</v>
      </c>
      <c r="AJ319" s="9">
        <v>3.2316176470588229</v>
      </c>
    </row>
    <row r="320" spans="1:36" x14ac:dyDescent="0.25">
      <c r="A320" s="7" t="s">
        <v>386</v>
      </c>
      <c r="B320" s="27" t="s">
        <v>706</v>
      </c>
      <c r="C320" s="7" t="s">
        <v>261</v>
      </c>
      <c r="D320" s="7" t="s">
        <v>292</v>
      </c>
      <c r="E320" s="7">
        <v>6</v>
      </c>
      <c r="F320" s="7" t="s">
        <v>125</v>
      </c>
      <c r="G320" s="8" t="s">
        <v>995</v>
      </c>
      <c r="H320" s="5">
        <f t="shared" si="4"/>
        <v>68.633794117647057</v>
      </c>
      <c r="I320" s="6">
        <v>0.16141176470588234</v>
      </c>
      <c r="J320" s="6">
        <v>0.12355882352941175</v>
      </c>
      <c r="K320" s="6">
        <v>0.38538235294117645</v>
      </c>
      <c r="L320" s="6">
        <v>0</v>
      </c>
      <c r="M320" s="6">
        <v>0.10308823529411763</v>
      </c>
      <c r="N320" s="6">
        <v>12.580235294117646</v>
      </c>
      <c r="O320" s="6">
        <v>0.22841176470588234</v>
      </c>
      <c r="P320" s="6">
        <v>0.33685294117647058</v>
      </c>
      <c r="Q320" s="6">
        <v>1.0282352941176471</v>
      </c>
      <c r="R320" s="6">
        <v>0.15488235294117644</v>
      </c>
      <c r="S320" s="15">
        <v>8.5210000000000008</v>
      </c>
      <c r="T320" s="15">
        <v>3.6999999999999998E-2</v>
      </c>
      <c r="U320" s="15">
        <v>0.06</v>
      </c>
      <c r="V320" s="9">
        <v>10.321999999999999</v>
      </c>
      <c r="W320" s="9">
        <v>1.0265882352941176</v>
      </c>
      <c r="X320" s="9">
        <v>15.170029411764704</v>
      </c>
      <c r="Y320" s="9">
        <v>0.21811764705882353</v>
      </c>
      <c r="Z320" s="9">
        <v>0.23997058823529407</v>
      </c>
      <c r="AA320" s="9">
        <v>7.9411764705882348E-2</v>
      </c>
      <c r="AB320" s="9">
        <v>9.4470588235294112E-2</v>
      </c>
      <c r="AC320" s="9">
        <v>13.459088235294116</v>
      </c>
      <c r="AD320" s="9">
        <v>2.0941176470588234E-2</v>
      </c>
      <c r="AE320" s="9">
        <v>0.12688235294117645</v>
      </c>
      <c r="AF320" s="9">
        <v>0.33255882352941174</v>
      </c>
      <c r="AG320" s="9">
        <v>2.7205882352941173E-2</v>
      </c>
      <c r="AH320" s="9">
        <v>0.13202941176470587</v>
      </c>
      <c r="AI320" s="9">
        <v>0.38420588235294112</v>
      </c>
      <c r="AJ320" s="9">
        <v>3.2802352941176469</v>
      </c>
    </row>
    <row r="321" spans="1:36" x14ac:dyDescent="0.25">
      <c r="A321" s="10" t="s">
        <v>387</v>
      </c>
      <c r="B321" s="27" t="s">
        <v>707</v>
      </c>
      <c r="C321" s="10" t="s">
        <v>261</v>
      </c>
      <c r="D321" s="10" t="s">
        <v>288</v>
      </c>
      <c r="E321" s="10">
        <v>6</v>
      </c>
      <c r="F321" s="7" t="s">
        <v>125</v>
      </c>
      <c r="G321" s="8" t="s">
        <v>995</v>
      </c>
      <c r="H321" s="5">
        <f t="shared" si="4"/>
        <v>69.740470588235297</v>
      </c>
      <c r="I321" s="12">
        <v>0.12647058823529408</v>
      </c>
      <c r="J321" s="12">
        <v>0.13426470588235295</v>
      </c>
      <c r="K321" s="12">
        <v>0.72047058823529408</v>
      </c>
      <c r="L321" s="6">
        <v>0</v>
      </c>
      <c r="M321" s="12">
        <v>0.35638235294117643</v>
      </c>
      <c r="N321" s="12">
        <v>13.236117647058823</v>
      </c>
      <c r="O321" s="12">
        <v>0.47776470588235292</v>
      </c>
      <c r="P321" s="12">
        <v>0.65076470588235291</v>
      </c>
      <c r="Q321" s="12">
        <v>1.4072647058823529</v>
      </c>
      <c r="R321" s="12">
        <v>0.24499999999999997</v>
      </c>
      <c r="S321" s="15">
        <v>7.9980000000000002</v>
      </c>
      <c r="T321" s="15">
        <v>1.6E-2</v>
      </c>
      <c r="U321" s="15">
        <v>4.2000000000000003E-2</v>
      </c>
      <c r="V321" s="9">
        <v>15.535441176470586</v>
      </c>
      <c r="W321" s="9">
        <v>1.0715294117647056</v>
      </c>
      <c r="X321" s="9">
        <v>13.276352941176469</v>
      </c>
      <c r="Y321" s="9">
        <v>0.27232352941176469</v>
      </c>
      <c r="Z321" s="9">
        <v>0.30770588235294116</v>
      </c>
      <c r="AA321" s="9">
        <v>0.12958823529411764</v>
      </c>
      <c r="AB321" s="9">
        <v>0.13261764705882351</v>
      </c>
      <c r="AC321" s="9">
        <v>10.636352941176469</v>
      </c>
      <c r="AD321" s="9">
        <v>1.0999999999999999E-2</v>
      </c>
      <c r="AE321" s="9">
        <v>0.11941176470588233</v>
      </c>
      <c r="AF321" s="9">
        <v>0.19158823529411764</v>
      </c>
      <c r="AG321" s="9">
        <v>2.0705882352941175E-2</v>
      </c>
      <c r="AH321" s="9">
        <v>0.12441176470588233</v>
      </c>
      <c r="AI321" s="9">
        <v>0.23923529411764702</v>
      </c>
      <c r="AJ321" s="9">
        <v>2.261705882352941</v>
      </c>
    </row>
    <row r="322" spans="1:36" x14ac:dyDescent="0.25">
      <c r="A322" s="17" t="s">
        <v>711</v>
      </c>
      <c r="B322" s="18" t="s">
        <v>712</v>
      </c>
      <c r="C322" s="19" t="s">
        <v>20</v>
      </c>
      <c r="D322" s="20" t="s">
        <v>21</v>
      </c>
      <c r="E322" s="20">
        <v>0</v>
      </c>
      <c r="F322" s="20" t="s">
        <v>713</v>
      </c>
      <c r="G322" s="20" t="s">
        <v>994</v>
      </c>
      <c r="H322" s="5">
        <f t="shared" ref="H322:H385" si="5">SUM(I322:M322,N322:R322,S322:AJ322)</f>
        <v>329.73676470588231</v>
      </c>
      <c r="I322" s="21">
        <v>0.19735294117647059</v>
      </c>
      <c r="J322" s="21">
        <v>0.47588235294117642</v>
      </c>
      <c r="K322" s="21">
        <v>5.9053529411764707</v>
      </c>
      <c r="L322" s="6">
        <v>0.31788235294117645</v>
      </c>
      <c r="M322" s="21">
        <v>0.32461764705882351</v>
      </c>
      <c r="N322" s="21">
        <v>79.922647058823529</v>
      </c>
      <c r="O322" s="21">
        <v>0</v>
      </c>
      <c r="P322" s="21">
        <v>0</v>
      </c>
      <c r="Q322" s="21">
        <v>20.070882352941172</v>
      </c>
      <c r="R322" s="21">
        <v>0.42411764705882349</v>
      </c>
      <c r="S322" s="21">
        <v>17.770882352941175</v>
      </c>
      <c r="T322" s="21">
        <v>0</v>
      </c>
      <c r="U322" s="21">
        <v>0</v>
      </c>
      <c r="V322" s="21">
        <v>108.9465294117647</v>
      </c>
      <c r="W322" s="21">
        <v>6.9388235294117644</v>
      </c>
      <c r="X322" s="21">
        <v>79.981647058823526</v>
      </c>
      <c r="Y322" s="21">
        <v>0.29741176470588232</v>
      </c>
      <c r="Z322" s="21">
        <v>4.3262352941176463</v>
      </c>
      <c r="AA322" s="21">
        <v>0.29594117647058821</v>
      </c>
      <c r="AB322" s="21">
        <v>1.3204999999999998</v>
      </c>
      <c r="AC322" s="21">
        <v>1.4009705882352939</v>
      </c>
      <c r="AD322" s="21">
        <v>3.2764705882352939E-2</v>
      </c>
      <c r="AE322" s="21">
        <v>7.9676470588235293E-2</v>
      </c>
      <c r="AF322" s="21">
        <v>4.8411764705882349E-2</v>
      </c>
      <c r="AG322" s="21">
        <v>7.51470588235294E-2</v>
      </c>
      <c r="AH322" s="21">
        <v>0.16367647058823528</v>
      </c>
      <c r="AI322" s="21">
        <v>4.1617647058823523E-2</v>
      </c>
      <c r="AJ322" s="21">
        <v>0.37779411764705884</v>
      </c>
    </row>
    <row r="323" spans="1:36" x14ac:dyDescent="0.25">
      <c r="A323" s="17" t="s">
        <v>714</v>
      </c>
      <c r="B323" s="18" t="s">
        <v>715</v>
      </c>
      <c r="C323" s="19" t="s">
        <v>20</v>
      </c>
      <c r="D323" s="20" t="s">
        <v>27</v>
      </c>
      <c r="E323" s="20">
        <v>1</v>
      </c>
      <c r="F323" s="20" t="s">
        <v>713</v>
      </c>
      <c r="G323" s="20" t="s">
        <v>994</v>
      </c>
      <c r="H323" s="5">
        <f t="shared" si="5"/>
        <v>405.7076176470589</v>
      </c>
      <c r="I323" s="21">
        <v>0.19364705882352939</v>
      </c>
      <c r="J323" s="21">
        <v>0.51232352941176473</v>
      </c>
      <c r="K323" s="21">
        <v>6.416294117647058</v>
      </c>
      <c r="L323" s="6">
        <v>0.34847058823529409</v>
      </c>
      <c r="M323" s="21">
        <v>0.4955</v>
      </c>
      <c r="N323" s="21">
        <v>89.58276470588234</v>
      </c>
      <c r="O323" s="21">
        <v>7.3529411764705881E-4</v>
      </c>
      <c r="P323" s="21">
        <v>0</v>
      </c>
      <c r="Q323" s="21">
        <v>22.83</v>
      </c>
      <c r="R323" s="21">
        <v>0.59411764705882353</v>
      </c>
      <c r="S323" s="21">
        <v>15.07270588235294</v>
      </c>
      <c r="T323" s="21">
        <v>0</v>
      </c>
      <c r="U323" s="21">
        <v>0</v>
      </c>
      <c r="V323" s="21">
        <v>126.89935294117646</v>
      </c>
      <c r="W323" s="21">
        <v>9.4404411764705873</v>
      </c>
      <c r="X323" s="21">
        <v>121.12349999999999</v>
      </c>
      <c r="Y323" s="21">
        <v>0.41870588235294109</v>
      </c>
      <c r="Z323" s="21">
        <v>6.7390588235294109</v>
      </c>
      <c r="AA323" s="21">
        <v>0.3916470588235294</v>
      </c>
      <c r="AB323" s="21">
        <v>2.1372941176470586</v>
      </c>
      <c r="AC323" s="21">
        <v>1.5471764705882349</v>
      </c>
      <c r="AD323" s="21">
        <v>2.5088235294117644E-2</v>
      </c>
      <c r="AE323" s="21">
        <v>0.10235294117647058</v>
      </c>
      <c r="AF323" s="21">
        <v>5.8029411764705878E-2</v>
      </c>
      <c r="AG323" s="21">
        <v>0.11511764705882352</v>
      </c>
      <c r="AH323" s="21">
        <v>0.19982352941176468</v>
      </c>
      <c r="AI323" s="21">
        <v>5.45E-2</v>
      </c>
      <c r="AJ323" s="21">
        <v>0.40897058823529409</v>
      </c>
    </row>
    <row r="324" spans="1:36" x14ac:dyDescent="0.25">
      <c r="A324" s="17" t="s">
        <v>716</v>
      </c>
      <c r="B324" s="18" t="s">
        <v>717</v>
      </c>
      <c r="C324" s="19" t="s">
        <v>20</v>
      </c>
      <c r="D324" s="20" t="s">
        <v>29</v>
      </c>
      <c r="E324" s="20">
        <v>1</v>
      </c>
      <c r="F324" s="20" t="s">
        <v>713</v>
      </c>
      <c r="G324" s="20" t="s">
        <v>994</v>
      </c>
      <c r="H324" s="5">
        <f t="shared" si="5"/>
        <v>597.97141176470575</v>
      </c>
      <c r="I324" s="21">
        <v>0.23523529411764701</v>
      </c>
      <c r="J324" s="21">
        <v>0.65799999999999992</v>
      </c>
      <c r="K324" s="21">
        <v>8.7803823529411744</v>
      </c>
      <c r="L324" s="6">
        <v>0.51129411764705879</v>
      </c>
      <c r="M324" s="21">
        <v>0.99591176470588239</v>
      </c>
      <c r="N324" s="21">
        <v>127.71194117647059</v>
      </c>
      <c r="O324" s="21">
        <v>0</v>
      </c>
      <c r="P324" s="21">
        <v>0</v>
      </c>
      <c r="Q324" s="21">
        <v>38.02732352941176</v>
      </c>
      <c r="R324" s="21">
        <v>1.0250882352941175</v>
      </c>
      <c r="S324" s="21">
        <v>17.858411764705881</v>
      </c>
      <c r="T324" s="21">
        <v>0</v>
      </c>
      <c r="U324" s="21">
        <v>0</v>
      </c>
      <c r="V324" s="21">
        <v>166.65614705882351</v>
      </c>
      <c r="W324" s="21">
        <v>13.919558823529409</v>
      </c>
      <c r="X324" s="21">
        <v>199.03544117647056</v>
      </c>
      <c r="Y324" s="21">
        <v>0.84679411764705881</v>
      </c>
      <c r="Z324" s="21">
        <v>13.185941176470587</v>
      </c>
      <c r="AA324" s="21">
        <v>0.52694117647058825</v>
      </c>
      <c r="AB324" s="21">
        <v>3.2889999999999997</v>
      </c>
      <c r="AC324" s="21">
        <v>3.137676470588235</v>
      </c>
      <c r="AD324" s="21">
        <v>4.858823529411764E-2</v>
      </c>
      <c r="AE324" s="21">
        <v>0.13585294117647059</v>
      </c>
      <c r="AF324" s="21">
        <v>0.16167647058823528</v>
      </c>
      <c r="AG324" s="21">
        <v>0.16711764705882351</v>
      </c>
      <c r="AH324" s="21">
        <v>0.28799999999999998</v>
      </c>
      <c r="AI324" s="21">
        <v>6.0470588235294109E-2</v>
      </c>
      <c r="AJ324" s="21">
        <v>0.70861764705882346</v>
      </c>
    </row>
    <row r="325" spans="1:36" x14ac:dyDescent="0.25">
      <c r="A325" s="17" t="s">
        <v>718</v>
      </c>
      <c r="B325" s="18" t="s">
        <v>719</v>
      </c>
      <c r="C325" s="19" t="s">
        <v>20</v>
      </c>
      <c r="D325" s="20" t="s">
        <v>31</v>
      </c>
      <c r="E325" s="20">
        <v>1</v>
      </c>
      <c r="F325" s="20" t="s">
        <v>713</v>
      </c>
      <c r="G325" s="20" t="s">
        <v>994</v>
      </c>
      <c r="H325" s="5">
        <f t="shared" si="5"/>
        <v>181.76958823529409</v>
      </c>
      <c r="I325" s="21">
        <v>0.16717647058823529</v>
      </c>
      <c r="J325" s="21">
        <v>0.37214705882352939</v>
      </c>
      <c r="K325" s="21">
        <v>3.3868823529411762</v>
      </c>
      <c r="L325" s="6">
        <v>0.21347058823529411</v>
      </c>
      <c r="M325" s="21">
        <v>0.21835294117647058</v>
      </c>
      <c r="N325" s="21">
        <v>41.292617647058819</v>
      </c>
      <c r="O325" s="21">
        <v>0</v>
      </c>
      <c r="P325" s="21">
        <v>7.0588235294117632E-3</v>
      </c>
      <c r="Q325" s="21">
        <v>11.558352941176469</v>
      </c>
      <c r="R325" s="21">
        <v>0.2364705882352941</v>
      </c>
      <c r="S325" s="21">
        <v>7.5950588235294116</v>
      </c>
      <c r="T325" s="21">
        <v>0</v>
      </c>
      <c r="U325" s="21">
        <v>0</v>
      </c>
      <c r="V325" s="21">
        <v>60.471029411764704</v>
      </c>
      <c r="W325" s="21">
        <v>3.6849705882352941</v>
      </c>
      <c r="X325" s="21">
        <v>48.198323529411759</v>
      </c>
      <c r="Y325" s="21">
        <v>0.15841176470588234</v>
      </c>
      <c r="Z325" s="21">
        <v>2.2917058823529408</v>
      </c>
      <c r="AA325" s="21">
        <v>0.15235294117647058</v>
      </c>
      <c r="AB325" s="21">
        <v>0.68508823529411755</v>
      </c>
      <c r="AC325" s="21">
        <v>0.67102941176470576</v>
      </c>
      <c r="AD325" s="21">
        <v>1.088235294117647E-3</v>
      </c>
      <c r="AE325" s="21">
        <v>4.4999999999999991E-2</v>
      </c>
      <c r="AF325" s="21">
        <v>2.3882352941176469E-2</v>
      </c>
      <c r="AG325" s="21">
        <v>4.3705882352941171E-2</v>
      </c>
      <c r="AH325" s="21">
        <v>9.9235294117647047E-2</v>
      </c>
      <c r="AI325" s="21">
        <v>2.3705882352941174E-2</v>
      </c>
      <c r="AJ325" s="21">
        <v>0.1724705882352941</v>
      </c>
    </row>
    <row r="326" spans="1:36" x14ac:dyDescent="0.25">
      <c r="A326" s="17" t="s">
        <v>720</v>
      </c>
      <c r="B326" s="18" t="s">
        <v>721</v>
      </c>
      <c r="C326" s="19" t="s">
        <v>20</v>
      </c>
      <c r="D326" s="20" t="s">
        <v>23</v>
      </c>
      <c r="E326" s="20">
        <v>1</v>
      </c>
      <c r="F326" s="20" t="s">
        <v>713</v>
      </c>
      <c r="G326" s="20" t="s">
        <v>994</v>
      </c>
      <c r="H326" s="5">
        <f t="shared" si="5"/>
        <v>168.8537647058823</v>
      </c>
      <c r="I326" s="21">
        <v>0.1391470588235294</v>
      </c>
      <c r="J326" s="21">
        <v>0.2899411764705882</v>
      </c>
      <c r="K326" s="21">
        <v>2.5371764705882351</v>
      </c>
      <c r="L326" s="6">
        <v>0.1535</v>
      </c>
      <c r="M326" s="21">
        <v>0.27952941176470586</v>
      </c>
      <c r="N326" s="21">
        <v>35.049352941176465</v>
      </c>
      <c r="O326" s="21">
        <v>0</v>
      </c>
      <c r="P326" s="21">
        <v>0</v>
      </c>
      <c r="Q326" s="21">
        <v>8.8507058823529405</v>
      </c>
      <c r="R326" s="21">
        <v>0.27832352941176469</v>
      </c>
      <c r="S326" s="21">
        <v>5.0429411764705874</v>
      </c>
      <c r="T326" s="21">
        <v>0</v>
      </c>
      <c r="U326" s="21">
        <v>0</v>
      </c>
      <c r="V326" s="21">
        <v>47.303470588235285</v>
      </c>
      <c r="W326" s="21">
        <v>3.1971470588235289</v>
      </c>
      <c r="X326" s="21">
        <v>59.727794117647051</v>
      </c>
      <c r="Y326" s="21">
        <v>0.16911764705882351</v>
      </c>
      <c r="Z326" s="21">
        <v>3.3255588235294113</v>
      </c>
      <c r="AA326" s="21">
        <v>0.17799999999999999</v>
      </c>
      <c r="AB326" s="21">
        <v>1.0026764705882352</v>
      </c>
      <c r="AC326" s="21">
        <v>0.86364705882352932</v>
      </c>
      <c r="AD326" s="21">
        <v>1.1205882352941175E-2</v>
      </c>
      <c r="AE326" s="21">
        <v>4.9147058823529405E-2</v>
      </c>
      <c r="AF326" s="21">
        <v>3.1058823529411764E-2</v>
      </c>
      <c r="AG326" s="21">
        <v>9.6470588235294114E-2</v>
      </c>
      <c r="AH326" s="21">
        <v>7.9823529411764696E-2</v>
      </c>
      <c r="AI326" s="21">
        <v>3.1235294117647056E-2</v>
      </c>
      <c r="AJ326" s="21">
        <v>0.16679411764705881</v>
      </c>
    </row>
    <row r="327" spans="1:36" x14ac:dyDescent="0.25">
      <c r="A327" s="17" t="s">
        <v>722</v>
      </c>
      <c r="B327" s="18" t="s">
        <v>723</v>
      </c>
      <c r="C327" s="19" t="s">
        <v>20</v>
      </c>
      <c r="D327" s="20" t="s">
        <v>25</v>
      </c>
      <c r="E327" s="20">
        <v>1</v>
      </c>
      <c r="F327" s="20" t="s">
        <v>713</v>
      </c>
      <c r="G327" s="20" t="s">
        <v>994</v>
      </c>
      <c r="H327" s="5">
        <f t="shared" si="5"/>
        <v>181.38923529411764</v>
      </c>
      <c r="I327" s="21">
        <v>0.16141176470588234</v>
      </c>
      <c r="J327" s="21">
        <v>0.31055882352941178</v>
      </c>
      <c r="K327" s="21">
        <v>2.4053529411764702</v>
      </c>
      <c r="L327" s="6">
        <v>0.15629411764705881</v>
      </c>
      <c r="M327" s="21">
        <v>0.35358823529411759</v>
      </c>
      <c r="N327" s="21">
        <v>37.255470588235291</v>
      </c>
      <c r="O327" s="21">
        <v>0</v>
      </c>
      <c r="P327" s="21">
        <v>0</v>
      </c>
      <c r="Q327" s="21">
        <v>10.241911764705883</v>
      </c>
      <c r="R327" s="21">
        <v>0.34552941176470586</v>
      </c>
      <c r="S327" s="21">
        <v>4.7406176470588228</v>
      </c>
      <c r="T327" s="21">
        <v>0</v>
      </c>
      <c r="U327" s="21">
        <v>0</v>
      </c>
      <c r="V327" s="21">
        <v>50.146058823529408</v>
      </c>
      <c r="W327" s="21">
        <v>3.7039999999999997</v>
      </c>
      <c r="X327" s="21">
        <v>65.411000000000001</v>
      </c>
      <c r="Y327" s="21">
        <v>0.24217647058823527</v>
      </c>
      <c r="Z327" s="21">
        <v>3.7646470588235288</v>
      </c>
      <c r="AA327" s="21">
        <v>0.12073529411764705</v>
      </c>
      <c r="AB327" s="21">
        <v>0.73299999999999998</v>
      </c>
      <c r="AC327" s="21">
        <v>0.85585294117647059</v>
      </c>
      <c r="AD327" s="21">
        <v>1.891176470588235E-2</v>
      </c>
      <c r="AE327" s="21">
        <v>3.5499999999999997E-2</v>
      </c>
      <c r="AF327" s="21">
        <v>4.5999999999999999E-2</v>
      </c>
      <c r="AG327" s="21">
        <v>6.2117647058823527E-2</v>
      </c>
      <c r="AH327" s="21">
        <v>7.114705882352941E-2</v>
      </c>
      <c r="AI327" s="21">
        <v>1.1705882352941175E-2</v>
      </c>
      <c r="AJ327" s="21">
        <v>0.1956470588235294</v>
      </c>
    </row>
    <row r="328" spans="1:36" x14ac:dyDescent="0.25">
      <c r="A328" s="17" t="s">
        <v>724</v>
      </c>
      <c r="B328" s="18" t="s">
        <v>725</v>
      </c>
      <c r="C328" s="19" t="s">
        <v>20</v>
      </c>
      <c r="D328" s="20" t="s">
        <v>37</v>
      </c>
      <c r="E328" s="20">
        <v>2</v>
      </c>
      <c r="F328" s="20" t="s">
        <v>713</v>
      </c>
      <c r="G328" s="20" t="s">
        <v>994</v>
      </c>
      <c r="H328" s="5">
        <f t="shared" si="5"/>
        <v>139.99035294117644</v>
      </c>
      <c r="I328" s="21">
        <v>0.14823529411764705</v>
      </c>
      <c r="J328" s="21">
        <v>0.29432352941176471</v>
      </c>
      <c r="K328" s="21">
        <v>2.3720882352941173</v>
      </c>
      <c r="L328" s="6">
        <v>0.15617647058823528</v>
      </c>
      <c r="M328" s="21">
        <v>0.19126470588235295</v>
      </c>
      <c r="N328" s="21">
        <v>31.50505882352941</v>
      </c>
      <c r="O328" s="21">
        <v>0</v>
      </c>
      <c r="P328" s="21">
        <v>0</v>
      </c>
      <c r="Q328" s="21">
        <v>7.3799117647058825</v>
      </c>
      <c r="R328" s="21">
        <v>0.20944117647058821</v>
      </c>
      <c r="S328" s="21">
        <v>5.97385294117647</v>
      </c>
      <c r="T328" s="21">
        <v>0</v>
      </c>
      <c r="U328" s="21">
        <v>0</v>
      </c>
      <c r="V328" s="21">
        <v>44.684176470588234</v>
      </c>
      <c r="W328" s="21">
        <v>2.7979705882352937</v>
      </c>
      <c r="X328" s="21">
        <v>40.576000000000001</v>
      </c>
      <c r="Y328" s="21">
        <v>0.11894117647058822</v>
      </c>
      <c r="Z328" s="21">
        <v>1.9963529411764704</v>
      </c>
      <c r="AA328" s="21">
        <v>0.12379411764705882</v>
      </c>
      <c r="AB328" s="21">
        <v>0.55699999999999994</v>
      </c>
      <c r="AC328" s="21">
        <v>0.57805882352941174</v>
      </c>
      <c r="AD328" s="21">
        <v>2.2647058823529408E-3</v>
      </c>
      <c r="AE328" s="21">
        <v>3.8676470588235291E-2</v>
      </c>
      <c r="AF328" s="21">
        <v>1.7764705882352939E-2</v>
      </c>
      <c r="AG328" s="21">
        <v>5.1058823529411761E-2</v>
      </c>
      <c r="AH328" s="21">
        <v>6.8764705882352936E-2</v>
      </c>
      <c r="AI328" s="21">
        <v>1.8794117647058822E-2</v>
      </c>
      <c r="AJ328" s="21">
        <v>0.13038235294117648</v>
      </c>
    </row>
    <row r="329" spans="1:36" x14ac:dyDescent="0.25">
      <c r="A329" s="17" t="s">
        <v>726</v>
      </c>
      <c r="B329" s="18" t="s">
        <v>727</v>
      </c>
      <c r="C329" s="19" t="s">
        <v>20</v>
      </c>
      <c r="D329" s="20" t="s">
        <v>39</v>
      </c>
      <c r="E329" s="20">
        <v>2</v>
      </c>
      <c r="F329" s="20" t="s">
        <v>713</v>
      </c>
      <c r="G329" s="20" t="s">
        <v>994</v>
      </c>
      <c r="H329" s="5">
        <f t="shared" si="5"/>
        <v>114.59955882352941</v>
      </c>
      <c r="I329" s="21">
        <v>0.15747058823529408</v>
      </c>
      <c r="J329" s="21">
        <v>0.32320588235294118</v>
      </c>
      <c r="K329" s="21">
        <v>2.0918235294117644</v>
      </c>
      <c r="L329" s="6">
        <v>0.13376470588235292</v>
      </c>
      <c r="M329" s="21">
        <v>0.216</v>
      </c>
      <c r="N329" s="21">
        <v>27.57711764705882</v>
      </c>
      <c r="O329" s="21">
        <v>0.12155882352941175</v>
      </c>
      <c r="P329" s="21">
        <v>0.79982352941176471</v>
      </c>
      <c r="Q329" s="21">
        <v>7.3773529411764702</v>
      </c>
      <c r="R329" s="21">
        <v>0.18788235294117647</v>
      </c>
      <c r="S329" s="21">
        <v>4.7948823529411762</v>
      </c>
      <c r="T329" s="21">
        <v>0</v>
      </c>
      <c r="U329" s="21">
        <v>0</v>
      </c>
      <c r="V329" s="21">
        <v>31.861588235294118</v>
      </c>
      <c r="W329" s="21">
        <v>2.2010588235294115</v>
      </c>
      <c r="X329" s="21">
        <v>33.57561764705882</v>
      </c>
      <c r="Y329" s="21">
        <v>0.13479411764705881</v>
      </c>
      <c r="Z329" s="21">
        <v>1.8587941176470588</v>
      </c>
      <c r="AA329" s="21">
        <v>0.10470588235294116</v>
      </c>
      <c r="AB329" s="21">
        <v>0.40382352941176469</v>
      </c>
      <c r="AC329" s="21">
        <v>0.44379411764705878</v>
      </c>
      <c r="AD329" s="21">
        <v>3.0882352941176464E-3</v>
      </c>
      <c r="AE329" s="21">
        <v>3.179411764705882E-2</v>
      </c>
      <c r="AF329" s="21">
        <v>2.1411764705882352E-2</v>
      </c>
      <c r="AG329" s="21">
        <v>4.3147058823529413E-2</v>
      </c>
      <c r="AH329" s="21">
        <v>4.3764705882352942E-2</v>
      </c>
      <c r="AI329" s="21">
        <v>5.8823529411764701E-4</v>
      </c>
      <c r="AJ329" s="21">
        <v>9.0705882352941164E-2</v>
      </c>
    </row>
    <row r="330" spans="1:36" x14ac:dyDescent="0.25">
      <c r="A330" s="17" t="s">
        <v>728</v>
      </c>
      <c r="B330" s="18" t="s">
        <v>729</v>
      </c>
      <c r="C330" s="19" t="s">
        <v>20</v>
      </c>
      <c r="D330" s="20" t="s">
        <v>41</v>
      </c>
      <c r="E330" s="20">
        <v>2</v>
      </c>
      <c r="F330" s="20" t="s">
        <v>713</v>
      </c>
      <c r="G330" s="20" t="s">
        <v>994</v>
      </c>
      <c r="H330" s="5">
        <f t="shared" si="5"/>
        <v>455.94635294117631</v>
      </c>
      <c r="I330" s="21">
        <v>0.27814705882352941</v>
      </c>
      <c r="J330" s="21">
        <v>0.59644117647058814</v>
      </c>
      <c r="K330" s="21">
        <v>8.0059705882352947</v>
      </c>
      <c r="L330" s="6">
        <v>0.4874705882352941</v>
      </c>
      <c r="M330" s="21">
        <v>0.47402941176470587</v>
      </c>
      <c r="N330" s="21">
        <v>108.89452941176471</v>
      </c>
      <c r="O330" s="21">
        <v>2.0499999999999997E-2</v>
      </c>
      <c r="P330" s="21">
        <v>2.676470588235294E-2</v>
      </c>
      <c r="Q330" s="21">
        <v>30.134735294117647</v>
      </c>
      <c r="R330" s="21">
        <v>0.63879411764705873</v>
      </c>
      <c r="S330" s="21">
        <v>22.975617647058822</v>
      </c>
      <c r="T330" s="21">
        <v>0</v>
      </c>
      <c r="U330" s="21">
        <v>0</v>
      </c>
      <c r="V330" s="21">
        <v>145.19382352941176</v>
      </c>
      <c r="W330" s="21">
        <v>10.605852941176469</v>
      </c>
      <c r="X330" s="21">
        <v>113.90567647058823</v>
      </c>
      <c r="Y330" s="21">
        <v>0.51935294117647046</v>
      </c>
      <c r="Z330" s="21">
        <v>7.3096176470588228</v>
      </c>
      <c r="AA330" s="21">
        <v>0.39329411764705879</v>
      </c>
      <c r="AB330" s="21">
        <v>1.8502647058823529</v>
      </c>
      <c r="AC330" s="21">
        <v>2.3570588235294117</v>
      </c>
      <c r="AD330" s="21">
        <v>4.8705882352941168E-2</v>
      </c>
      <c r="AE330" s="21">
        <v>0.10544117647058823</v>
      </c>
      <c r="AF330" s="21">
        <v>9.8470588235294115E-2</v>
      </c>
      <c r="AG330" s="21">
        <v>0.1179705882352941</v>
      </c>
      <c r="AH330" s="21">
        <v>0.23941176470588232</v>
      </c>
      <c r="AI330" s="21">
        <v>5.5205882352941167E-2</v>
      </c>
      <c r="AJ330" s="21">
        <v>0.61320588235294116</v>
      </c>
    </row>
    <row r="331" spans="1:36" x14ac:dyDescent="0.25">
      <c r="A331" s="17" t="s">
        <v>730</v>
      </c>
      <c r="B331" s="18" t="s">
        <v>731</v>
      </c>
      <c r="C331" s="19" t="s">
        <v>20</v>
      </c>
      <c r="D331" s="20" t="s">
        <v>33</v>
      </c>
      <c r="E331" s="20">
        <v>2</v>
      </c>
      <c r="F331" s="20" t="s">
        <v>713</v>
      </c>
      <c r="G331" s="20" t="s">
        <v>994</v>
      </c>
      <c r="H331" s="5">
        <f t="shared" si="5"/>
        <v>470.62782352941178</v>
      </c>
      <c r="I331" s="21">
        <v>0.20923529411764702</v>
      </c>
      <c r="J331" s="21">
        <v>0.54749999999999999</v>
      </c>
      <c r="K331" s="21">
        <v>6.7282352941176464</v>
      </c>
      <c r="L331" s="6">
        <v>0.35773529411764704</v>
      </c>
      <c r="M331" s="21">
        <v>0.75220588235294106</v>
      </c>
      <c r="N331" s="21">
        <v>98.582441176470596</v>
      </c>
      <c r="O331" s="21">
        <v>0</v>
      </c>
      <c r="P331" s="21">
        <v>0</v>
      </c>
      <c r="Q331" s="21">
        <v>25.671382352941176</v>
      </c>
      <c r="R331" s="21">
        <v>0.88670588235294123</v>
      </c>
      <c r="S331" s="21">
        <v>14.554235294117644</v>
      </c>
      <c r="T331" s="21">
        <v>0</v>
      </c>
      <c r="U331" s="21">
        <v>0</v>
      </c>
      <c r="V331" s="21">
        <v>129.90523529411763</v>
      </c>
      <c r="W331" s="21">
        <v>9.921558823529411</v>
      </c>
      <c r="X331" s="21">
        <v>163.65479411764704</v>
      </c>
      <c r="Y331" s="21">
        <v>0.67155882352941176</v>
      </c>
      <c r="Z331" s="21">
        <v>11.440999999999999</v>
      </c>
      <c r="AA331" s="21">
        <v>0.42020588235294115</v>
      </c>
      <c r="AB331" s="21">
        <v>2.5139411764705883</v>
      </c>
      <c r="AC331" s="21">
        <v>2.4606470588235294</v>
      </c>
      <c r="AD331" s="21">
        <v>5.4088235294117645E-2</v>
      </c>
      <c r="AE331" s="21">
        <v>0.10452941176470588</v>
      </c>
      <c r="AF331" s="21">
        <v>0.11764705882352941</v>
      </c>
      <c r="AG331" s="21">
        <v>0.16135294117647056</v>
      </c>
      <c r="AH331" s="21">
        <v>0.25641176470588234</v>
      </c>
      <c r="AI331" s="21">
        <v>4.4470588235294116E-2</v>
      </c>
      <c r="AJ331" s="21">
        <v>0.6107058823529411</v>
      </c>
    </row>
    <row r="332" spans="1:36" x14ac:dyDescent="0.25">
      <c r="A332" s="17" t="s">
        <v>732</v>
      </c>
      <c r="B332" s="18" t="s">
        <v>733</v>
      </c>
      <c r="C332" s="19" t="s">
        <v>20</v>
      </c>
      <c r="D332" s="20" t="s">
        <v>35</v>
      </c>
      <c r="E332" s="20">
        <v>2</v>
      </c>
      <c r="F332" s="20" t="s">
        <v>713</v>
      </c>
      <c r="G332" s="20" t="s">
        <v>994</v>
      </c>
      <c r="H332" s="5">
        <f t="shared" si="5"/>
        <v>38.253470588235281</v>
      </c>
      <c r="I332" s="21">
        <v>0.18223529411764705</v>
      </c>
      <c r="J332" s="21">
        <v>0.28611764705882353</v>
      </c>
      <c r="K332" s="21">
        <v>1.1439999999999999</v>
      </c>
      <c r="L332" s="6">
        <v>9.3352941176470569E-2</v>
      </c>
      <c r="M332" s="21">
        <v>7.9441176470588223E-2</v>
      </c>
      <c r="N332" s="21">
        <v>10.600941176470588</v>
      </c>
      <c r="O332" s="21">
        <v>0</v>
      </c>
      <c r="P332" s="21">
        <v>0</v>
      </c>
      <c r="Q332" s="21">
        <v>2.6424117647058822</v>
      </c>
      <c r="R332" s="21">
        <v>6.3941176470588224E-2</v>
      </c>
      <c r="S332" s="21">
        <v>2.213970588235294</v>
      </c>
      <c r="T332" s="21">
        <v>0</v>
      </c>
      <c r="U332" s="21">
        <v>0</v>
      </c>
      <c r="V332" s="21">
        <v>9.7002058823529413</v>
      </c>
      <c r="W332" s="21">
        <v>0.65597058823529408</v>
      </c>
      <c r="X332" s="21">
        <v>9.5866470588235284</v>
      </c>
      <c r="Y332" s="21">
        <v>3.7235294117647054E-2</v>
      </c>
      <c r="Z332" s="21">
        <v>0.55288235294117649</v>
      </c>
      <c r="AA332" s="21">
        <v>3.8794117647058819E-2</v>
      </c>
      <c r="AB332" s="21">
        <v>9.6764705882352933E-2</v>
      </c>
      <c r="AC332" s="21">
        <v>0.18376470588235294</v>
      </c>
      <c r="AD332" s="21">
        <v>4.411764705882352E-4</v>
      </c>
      <c r="AE332" s="21">
        <v>1.2235294117647056E-2</v>
      </c>
      <c r="AF332" s="21">
        <v>0</v>
      </c>
      <c r="AG332" s="21">
        <v>2.2470588235294117E-2</v>
      </c>
      <c r="AH332" s="21">
        <v>2.1411764705882352E-2</v>
      </c>
      <c r="AI332" s="21">
        <v>5.2941176470588231E-4</v>
      </c>
      <c r="AJ332" s="21">
        <v>3.7705882352941172E-2</v>
      </c>
    </row>
    <row r="333" spans="1:36" x14ac:dyDescent="0.25">
      <c r="A333" s="17" t="s">
        <v>734</v>
      </c>
      <c r="B333" s="18" t="s">
        <v>735</v>
      </c>
      <c r="C333" s="19" t="s">
        <v>20</v>
      </c>
      <c r="D333" s="20" t="s">
        <v>47</v>
      </c>
      <c r="E333" s="20">
        <v>6</v>
      </c>
      <c r="F333" s="20" t="s">
        <v>713</v>
      </c>
      <c r="G333" s="20" t="s">
        <v>994</v>
      </c>
      <c r="H333" s="5">
        <f t="shared" si="5"/>
        <v>582.41285294117642</v>
      </c>
      <c r="I333" s="21">
        <v>0.31202941176470589</v>
      </c>
      <c r="J333" s="21">
        <v>0.77579411764705875</v>
      </c>
      <c r="K333" s="21">
        <v>10.760441176470588</v>
      </c>
      <c r="L333" s="6">
        <v>0.61114705882352938</v>
      </c>
      <c r="M333" s="21">
        <v>0.52749999999999997</v>
      </c>
      <c r="N333" s="21">
        <v>138.91282352941175</v>
      </c>
      <c r="O333" s="21">
        <v>6.9794117647058826E-2</v>
      </c>
      <c r="P333" s="21">
        <v>0.10111764705882352</v>
      </c>
      <c r="Q333" s="21">
        <v>36.744470588235288</v>
      </c>
      <c r="R333" s="21">
        <v>0.7742941176470588</v>
      </c>
      <c r="S333" s="21">
        <v>32.566941176470586</v>
      </c>
      <c r="T333" s="21">
        <v>0</v>
      </c>
      <c r="U333" s="21">
        <v>1.8029411764705881E-2</v>
      </c>
      <c r="V333" s="21">
        <v>192.74894117647057</v>
      </c>
      <c r="W333" s="21">
        <v>13.206441176470587</v>
      </c>
      <c r="X333" s="21">
        <v>138.6935</v>
      </c>
      <c r="Y333" s="21">
        <v>0.57058823529411762</v>
      </c>
      <c r="Z333" s="21">
        <v>8.0567352941176456</v>
      </c>
      <c r="AA333" s="21">
        <v>0.53926470588235298</v>
      </c>
      <c r="AB333" s="21">
        <v>2.587441176470588</v>
      </c>
      <c r="AC333" s="21">
        <v>2.4860294117647057</v>
      </c>
      <c r="AD333" s="21">
        <v>4.9500000000000002E-2</v>
      </c>
      <c r="AE333" s="21">
        <v>0.12764705882352939</v>
      </c>
      <c r="AF333" s="21">
        <v>8.2323529411764698E-2</v>
      </c>
      <c r="AG333" s="21">
        <v>0.13738235294117646</v>
      </c>
      <c r="AH333" s="21">
        <v>0.28132352941176469</v>
      </c>
      <c r="AI333" s="21">
        <v>7.0852941176470577E-2</v>
      </c>
      <c r="AJ333" s="21">
        <v>0.60049999999999992</v>
      </c>
    </row>
    <row r="334" spans="1:36" x14ac:dyDescent="0.25">
      <c r="A334" s="17" t="s">
        <v>736</v>
      </c>
      <c r="B334" s="18" t="s">
        <v>737</v>
      </c>
      <c r="C334" s="19" t="s">
        <v>20</v>
      </c>
      <c r="D334" s="20" t="s">
        <v>49</v>
      </c>
      <c r="E334" s="20">
        <v>6</v>
      </c>
      <c r="F334" s="20" t="s">
        <v>713</v>
      </c>
      <c r="G334" s="20" t="s">
        <v>994</v>
      </c>
      <c r="H334" s="5">
        <f t="shared" si="5"/>
        <v>294.86202941176464</v>
      </c>
      <c r="I334" s="21">
        <v>0.18202941176470586</v>
      </c>
      <c r="J334" s="21">
        <v>0.44067647058823523</v>
      </c>
      <c r="K334" s="21">
        <v>5.5231176470588235</v>
      </c>
      <c r="L334" s="6">
        <v>0.30394117647058821</v>
      </c>
      <c r="M334" s="21">
        <v>0.29070588235294115</v>
      </c>
      <c r="N334" s="21">
        <v>70.247352941176459</v>
      </c>
      <c r="O334" s="21">
        <v>9.8117647058823518E-2</v>
      </c>
      <c r="P334" s="21">
        <v>0.12670588235294117</v>
      </c>
      <c r="Q334" s="21">
        <v>17.299176470588232</v>
      </c>
      <c r="R334" s="21">
        <v>0.38997058823529412</v>
      </c>
      <c r="S334" s="21">
        <v>15.542588235294117</v>
      </c>
      <c r="T334" s="21">
        <v>0</v>
      </c>
      <c r="U334" s="21">
        <v>3.4235294117647051E-2</v>
      </c>
      <c r="V334" s="21">
        <v>97.588411764705867</v>
      </c>
      <c r="W334" s="21">
        <v>6.6373823529411755</v>
      </c>
      <c r="X334" s="21">
        <v>72.405470588235289</v>
      </c>
      <c r="Y334" s="21">
        <v>0.2706764705882353</v>
      </c>
      <c r="Z334" s="21">
        <v>3.9479411764705881</v>
      </c>
      <c r="AA334" s="21">
        <v>0.25505882352941178</v>
      </c>
      <c r="AB334" s="21">
        <v>1.2559999999999998</v>
      </c>
      <c r="AC334" s="21">
        <v>1.2795294117647058</v>
      </c>
      <c r="AD334" s="21">
        <v>2.3558823529411761E-2</v>
      </c>
      <c r="AE334" s="21">
        <v>6.5588235294117642E-2</v>
      </c>
      <c r="AF334" s="21">
        <v>3.9382352941176473E-2</v>
      </c>
      <c r="AG334" s="21">
        <v>8.0529411764705877E-2</v>
      </c>
      <c r="AH334" s="21">
        <v>0.1593235294117647</v>
      </c>
      <c r="AI334" s="21">
        <v>3.2794117647058821E-2</v>
      </c>
      <c r="AJ334" s="21">
        <v>0.34176470588235291</v>
      </c>
    </row>
    <row r="335" spans="1:36" x14ac:dyDescent="0.25">
      <c r="A335" s="17" t="s">
        <v>738</v>
      </c>
      <c r="B335" s="18" t="s">
        <v>739</v>
      </c>
      <c r="C335" s="19" t="s">
        <v>20</v>
      </c>
      <c r="D335" s="20" t="s">
        <v>45</v>
      </c>
      <c r="E335" s="20">
        <v>6</v>
      </c>
      <c r="F335" s="20" t="s">
        <v>713</v>
      </c>
      <c r="G335" s="20" t="s">
        <v>994</v>
      </c>
      <c r="H335" s="5">
        <f t="shared" si="5"/>
        <v>239.96182352941176</v>
      </c>
      <c r="I335" s="21">
        <v>0.17820588235294116</v>
      </c>
      <c r="J335" s="21">
        <v>0.40738235294117642</v>
      </c>
      <c r="K335" s="21">
        <v>4.8779411764705882</v>
      </c>
      <c r="L335" s="6">
        <v>0.24138235294117646</v>
      </c>
      <c r="M335" s="21">
        <v>0.19738235294117645</v>
      </c>
      <c r="N335" s="21">
        <v>61.955441176470586</v>
      </c>
      <c r="O335" s="21">
        <v>9.2882352941176458E-2</v>
      </c>
      <c r="P335" s="21">
        <v>0.14632352941176471</v>
      </c>
      <c r="Q335" s="21">
        <v>13.563588235294118</v>
      </c>
      <c r="R335" s="21">
        <v>0.27823529411764703</v>
      </c>
      <c r="S335" s="21">
        <v>15.658794117647059</v>
      </c>
      <c r="T335" s="21">
        <v>0</v>
      </c>
      <c r="U335" s="21">
        <v>3.6999999999999991E-2</v>
      </c>
      <c r="V335" s="21">
        <v>81.695264705882337</v>
      </c>
      <c r="W335" s="21">
        <v>4.5509117647058819</v>
      </c>
      <c r="X335" s="21">
        <v>50.623029411764698</v>
      </c>
      <c r="Y335" s="21">
        <v>0.17091176470588235</v>
      </c>
      <c r="Z335" s="21">
        <v>2.7290294117647056</v>
      </c>
      <c r="AA335" s="21">
        <v>0.22623529411764703</v>
      </c>
      <c r="AB335" s="21">
        <v>0.90570588235294103</v>
      </c>
      <c r="AC335" s="21">
        <v>0.91932352941176465</v>
      </c>
      <c r="AD335" s="21">
        <v>1.4352941176470586E-2</v>
      </c>
      <c r="AE335" s="21">
        <v>5.6705882352941168E-2</v>
      </c>
      <c r="AF335" s="21">
        <v>2.7205882352941173E-2</v>
      </c>
      <c r="AG335" s="21">
        <v>5.7382352941176468E-2</v>
      </c>
      <c r="AH335" s="21">
        <v>0.10823529411764705</v>
      </c>
      <c r="AI335" s="21">
        <v>2.9205882352941172E-2</v>
      </c>
      <c r="AJ335" s="21">
        <v>0.21376470588235291</v>
      </c>
    </row>
    <row r="336" spans="1:36" x14ac:dyDescent="0.25">
      <c r="A336" s="17" t="s">
        <v>740</v>
      </c>
      <c r="B336" s="18" t="s">
        <v>741</v>
      </c>
      <c r="C336" s="19" t="s">
        <v>20</v>
      </c>
      <c r="D336" s="20" t="s">
        <v>43</v>
      </c>
      <c r="E336" s="20">
        <v>6</v>
      </c>
      <c r="F336" s="20" t="s">
        <v>713</v>
      </c>
      <c r="G336" s="20" t="s">
        <v>994</v>
      </c>
      <c r="H336" s="5">
        <f t="shared" si="5"/>
        <v>560.88858823529392</v>
      </c>
      <c r="I336" s="21">
        <v>0.23099999999999998</v>
      </c>
      <c r="J336" s="21">
        <v>0.72508823529411759</v>
      </c>
      <c r="K336" s="21">
        <v>8.3458823529411763</v>
      </c>
      <c r="L336" s="6">
        <v>0.45567647058823529</v>
      </c>
      <c r="M336" s="21">
        <v>0.93535294117647061</v>
      </c>
      <c r="N336" s="21">
        <v>114.95929411764705</v>
      </c>
      <c r="O336" s="21">
        <v>2.2823529411764704E-2</v>
      </c>
      <c r="P336" s="21">
        <v>5.6676470588235286E-2</v>
      </c>
      <c r="Q336" s="21">
        <v>30.105558823529407</v>
      </c>
      <c r="R336" s="21">
        <v>0.96608823529411747</v>
      </c>
      <c r="S336" s="21">
        <v>17.123323529411763</v>
      </c>
      <c r="T336" s="21">
        <v>0</v>
      </c>
      <c r="U336" s="21">
        <v>0</v>
      </c>
      <c r="V336" s="21">
        <v>155.8450882352941</v>
      </c>
      <c r="W336" s="21">
        <v>11.398794117647057</v>
      </c>
      <c r="X336" s="21">
        <v>197.81726470588234</v>
      </c>
      <c r="Y336" s="21">
        <v>0.72967647058823526</v>
      </c>
      <c r="Z336" s="21">
        <v>12.576088235294117</v>
      </c>
      <c r="AA336" s="21">
        <v>0.58988235294117641</v>
      </c>
      <c r="AB336" s="21">
        <v>3.9782941176470583</v>
      </c>
      <c r="AC336" s="21">
        <v>2.5315882352941173</v>
      </c>
      <c r="AD336" s="21">
        <v>5.6558823529411759E-2</v>
      </c>
      <c r="AE336" s="21">
        <v>0.1451764705882353</v>
      </c>
      <c r="AF336" s="21">
        <v>0.11867647058823527</v>
      </c>
      <c r="AG336" s="21">
        <v>0.22573529411764703</v>
      </c>
      <c r="AH336" s="21">
        <v>0.24705882352941175</v>
      </c>
      <c r="AI336" s="21">
        <v>6.8470588235294103E-2</v>
      </c>
      <c r="AJ336" s="21">
        <v>0.63347058823529401</v>
      </c>
    </row>
    <row r="337" spans="1:36" x14ac:dyDescent="0.25">
      <c r="A337" s="17" t="s">
        <v>742</v>
      </c>
      <c r="B337" s="18" t="s">
        <v>743</v>
      </c>
      <c r="C337" s="19" t="s">
        <v>20</v>
      </c>
      <c r="D337" s="20" t="s">
        <v>21</v>
      </c>
      <c r="E337" s="20">
        <v>0</v>
      </c>
      <c r="F337" s="20" t="s">
        <v>744</v>
      </c>
      <c r="G337" s="20" t="s">
        <v>994</v>
      </c>
      <c r="H337" s="5">
        <f t="shared" si="5"/>
        <v>94.831470588235277</v>
      </c>
      <c r="I337" s="21">
        <v>9.9588235294117644E-2</v>
      </c>
      <c r="J337" s="21">
        <v>0.27773529411764702</v>
      </c>
      <c r="K337" s="21">
        <v>2.5558235294117644</v>
      </c>
      <c r="L337" s="6">
        <v>0.1356470588235294</v>
      </c>
      <c r="M337" s="21">
        <v>8.6911764705882341E-2</v>
      </c>
      <c r="N337" s="21">
        <v>21.136794117647057</v>
      </c>
      <c r="O337" s="21">
        <v>0</v>
      </c>
      <c r="P337" s="21">
        <v>0</v>
      </c>
      <c r="Q337" s="21">
        <v>2.8335294117647059</v>
      </c>
      <c r="R337" s="21">
        <v>0.12126470588235294</v>
      </c>
      <c r="S337" s="21">
        <v>6.5019999999999998</v>
      </c>
      <c r="T337" s="21">
        <v>0</v>
      </c>
      <c r="U337" s="21">
        <v>0</v>
      </c>
      <c r="V337" s="21">
        <v>30.104382352941176</v>
      </c>
      <c r="W337" s="21">
        <v>1.7065882352941175</v>
      </c>
      <c r="X337" s="21">
        <v>25.485235294117643</v>
      </c>
      <c r="Y337" s="21">
        <v>4.9205882352941169E-2</v>
      </c>
      <c r="Z337" s="21">
        <v>0.63270588235294112</v>
      </c>
      <c r="AA337" s="21">
        <v>0.27694117647058819</v>
      </c>
      <c r="AB337" s="21">
        <v>0.48708823529411766</v>
      </c>
      <c r="AC337" s="21">
        <v>1.5289117647058823</v>
      </c>
      <c r="AD337" s="21">
        <v>2.941176470588235E-4</v>
      </c>
      <c r="AE337" s="21">
        <v>0.12238235294117647</v>
      </c>
      <c r="AF337" s="21">
        <v>1.4529411764705881E-2</v>
      </c>
      <c r="AG337" s="21">
        <v>5.8764705882352941E-2</v>
      </c>
      <c r="AH337" s="21">
        <v>9.9676470588235297E-2</v>
      </c>
      <c r="AI337" s="21">
        <v>4.1999999999999996E-2</v>
      </c>
      <c r="AJ337" s="21">
        <v>0.47347058823529409</v>
      </c>
    </row>
    <row r="338" spans="1:36" x14ac:dyDescent="0.25">
      <c r="A338" s="17" t="s">
        <v>745</v>
      </c>
      <c r="B338" s="18" t="s">
        <v>746</v>
      </c>
      <c r="C338" s="19" t="s">
        <v>20</v>
      </c>
      <c r="D338" s="20" t="s">
        <v>27</v>
      </c>
      <c r="E338" s="20">
        <v>1</v>
      </c>
      <c r="F338" s="20" t="s">
        <v>744</v>
      </c>
      <c r="G338" s="20" t="s">
        <v>994</v>
      </c>
      <c r="H338" s="5">
        <f t="shared" si="5"/>
        <v>167.6792058823529</v>
      </c>
      <c r="I338" s="21">
        <v>0.18958823529411764</v>
      </c>
      <c r="J338" s="21">
        <v>0.4081764705882352</v>
      </c>
      <c r="K338" s="21">
        <v>4.6941764705882347</v>
      </c>
      <c r="L338" s="6">
        <v>0.22600000000000001</v>
      </c>
      <c r="M338" s="21">
        <v>9.7823529411764698E-2</v>
      </c>
      <c r="N338" s="21">
        <v>40.10238235294117</v>
      </c>
      <c r="O338" s="21">
        <v>9.9588235294117644E-2</v>
      </c>
      <c r="P338" s="21">
        <v>0.16517647058823529</v>
      </c>
      <c r="Q338" s="21">
        <v>7.6749999999999998</v>
      </c>
      <c r="R338" s="21">
        <v>0.16411764705882353</v>
      </c>
      <c r="S338" s="21">
        <v>11.9855</v>
      </c>
      <c r="T338" s="21">
        <v>0</v>
      </c>
      <c r="U338" s="21">
        <v>3.1764705882352938E-2</v>
      </c>
      <c r="V338" s="21">
        <v>54.382911764705874</v>
      </c>
      <c r="W338" s="21">
        <v>2.8941470588235294</v>
      </c>
      <c r="X338" s="21">
        <v>38.440411764705878</v>
      </c>
      <c r="Y338" s="21">
        <v>6.4294117647058821E-2</v>
      </c>
      <c r="Z338" s="21">
        <v>1.2551176470588234</v>
      </c>
      <c r="AA338" s="21">
        <v>0.73155882352941171</v>
      </c>
      <c r="AB338" s="21">
        <v>0.76879411764705885</v>
      </c>
      <c r="AC338" s="21">
        <v>2.100676470588235</v>
      </c>
      <c r="AD338" s="21">
        <v>6.0588235294117649E-3</v>
      </c>
      <c r="AE338" s="21">
        <v>0.13094117647058823</v>
      </c>
      <c r="AF338" s="21">
        <v>3.4323529411764704E-2</v>
      </c>
      <c r="AG338" s="21">
        <v>7.3970588235294107E-2</v>
      </c>
      <c r="AH338" s="21">
        <v>0.1681470588235294</v>
      </c>
      <c r="AI338" s="21">
        <v>4.0147058823529411E-2</v>
      </c>
      <c r="AJ338" s="21">
        <v>0.74841176470588233</v>
      </c>
    </row>
    <row r="339" spans="1:36" x14ac:dyDescent="0.25">
      <c r="A339" s="17" t="s">
        <v>747</v>
      </c>
      <c r="B339" s="18" t="s">
        <v>748</v>
      </c>
      <c r="C339" s="19" t="s">
        <v>20</v>
      </c>
      <c r="D339" s="20" t="s">
        <v>29</v>
      </c>
      <c r="E339" s="20">
        <v>1</v>
      </c>
      <c r="F339" s="20" t="s">
        <v>744</v>
      </c>
      <c r="G339" s="20" t="s">
        <v>994</v>
      </c>
      <c r="H339" s="5">
        <f t="shared" si="5"/>
        <v>78.464588235294102</v>
      </c>
      <c r="I339" s="21">
        <v>0.19879411764705879</v>
      </c>
      <c r="J339" s="21">
        <v>0.3029705882352941</v>
      </c>
      <c r="K339" s="21">
        <v>2.257705882352941</v>
      </c>
      <c r="L339" s="6">
        <v>0.12885294117647059</v>
      </c>
      <c r="M339" s="21">
        <v>7.9176470588235293E-2</v>
      </c>
      <c r="N339" s="21">
        <v>19.994441176470588</v>
      </c>
      <c r="O339" s="21">
        <v>2.9794117647058822E-2</v>
      </c>
      <c r="P339" s="21">
        <v>4.2323529411764704E-2</v>
      </c>
      <c r="Q339" s="21">
        <v>3.3558823529411761</v>
      </c>
      <c r="R339" s="21">
        <v>0.10082352941176469</v>
      </c>
      <c r="S339" s="21">
        <v>4.8917647058823528</v>
      </c>
      <c r="T339" s="21">
        <v>0</v>
      </c>
      <c r="U339" s="21">
        <v>0</v>
      </c>
      <c r="V339" s="21">
        <v>21.805176470588233</v>
      </c>
      <c r="W339" s="21">
        <v>1.2780882352941174</v>
      </c>
      <c r="X339" s="21">
        <v>21.234264705882349</v>
      </c>
      <c r="Y339" s="21">
        <v>5.0147058823529406E-2</v>
      </c>
      <c r="Z339" s="21">
        <v>0.88902941176470573</v>
      </c>
      <c r="AA339" s="21">
        <v>0.20123529411764704</v>
      </c>
      <c r="AB339" s="21">
        <v>0.41317647058823526</v>
      </c>
      <c r="AC339" s="21">
        <v>0.73952941176470577</v>
      </c>
      <c r="AD339" s="21">
        <v>4.1176470588235285E-4</v>
      </c>
      <c r="AE339" s="21">
        <v>6.3323529411764709E-2</v>
      </c>
      <c r="AF339" s="21">
        <v>1.5823529411764705E-2</v>
      </c>
      <c r="AG339" s="21">
        <v>5.1264705882352941E-2</v>
      </c>
      <c r="AH339" s="21">
        <v>8.0882352941176461E-2</v>
      </c>
      <c r="AI339" s="21">
        <v>1.1588235294117646E-2</v>
      </c>
      <c r="AJ339" s="21">
        <v>0.24811764705882353</v>
      </c>
    </row>
    <row r="340" spans="1:36" x14ac:dyDescent="0.25">
      <c r="A340" s="17" t="s">
        <v>749</v>
      </c>
      <c r="B340" s="18" t="s">
        <v>750</v>
      </c>
      <c r="C340" s="19" t="s">
        <v>20</v>
      </c>
      <c r="D340" s="20" t="s">
        <v>31</v>
      </c>
      <c r="E340" s="20">
        <v>1</v>
      </c>
      <c r="F340" s="20" t="s">
        <v>744</v>
      </c>
      <c r="G340" s="20" t="s">
        <v>994</v>
      </c>
      <c r="H340" s="5">
        <f t="shared" si="5"/>
        <v>154.87705882352938</v>
      </c>
      <c r="I340" s="21">
        <v>0.19147058823529411</v>
      </c>
      <c r="J340" s="21">
        <v>0.38870588235294112</v>
      </c>
      <c r="K340" s="21">
        <v>4.4588823529411759</v>
      </c>
      <c r="L340" s="6">
        <v>0.26579411764705879</v>
      </c>
      <c r="M340" s="21">
        <v>0.12435294117647057</v>
      </c>
      <c r="N340" s="21">
        <v>38.26926470588235</v>
      </c>
      <c r="O340" s="21">
        <v>5.1617647058823525E-2</v>
      </c>
      <c r="P340" s="21">
        <v>4.7970588235294119E-2</v>
      </c>
      <c r="Q340" s="21">
        <v>7.0222941176470579</v>
      </c>
      <c r="R340" s="21">
        <v>0.17658823529411763</v>
      </c>
      <c r="S340" s="21">
        <v>9.0959117647058818</v>
      </c>
      <c r="T340" s="21">
        <v>0</v>
      </c>
      <c r="U340" s="21">
        <v>1.5176470588235291E-2</v>
      </c>
      <c r="V340" s="21">
        <v>45.338647058823526</v>
      </c>
      <c r="W340" s="21">
        <v>2.6552941176470588</v>
      </c>
      <c r="X340" s="21">
        <v>41.055147058823529</v>
      </c>
      <c r="Y340" s="21">
        <v>7.6588235294117638E-2</v>
      </c>
      <c r="Z340" s="21">
        <v>1.6888529411764706</v>
      </c>
      <c r="AA340" s="21">
        <v>0.32849999999999996</v>
      </c>
      <c r="AB340" s="21">
        <v>0.69647058823529406</v>
      </c>
      <c r="AC340" s="21">
        <v>1.6527941176470586</v>
      </c>
      <c r="AD340" s="21">
        <v>8.5294117647058808E-3</v>
      </c>
      <c r="AE340" s="21">
        <v>0.11717647058823528</v>
      </c>
      <c r="AF340" s="21">
        <v>2.5794117647058822E-2</v>
      </c>
      <c r="AG340" s="21">
        <v>0.22988235294117643</v>
      </c>
      <c r="AH340" s="21">
        <v>0.15482352941176469</v>
      </c>
      <c r="AI340" s="21">
        <v>4.5588235294117645E-2</v>
      </c>
      <c r="AJ340" s="21">
        <v>0.69494117647058817</v>
      </c>
    </row>
    <row r="341" spans="1:36" x14ac:dyDescent="0.25">
      <c r="A341" s="17" t="s">
        <v>751</v>
      </c>
      <c r="B341" s="18" t="s">
        <v>752</v>
      </c>
      <c r="C341" s="19" t="s">
        <v>20</v>
      </c>
      <c r="D341" s="20" t="s">
        <v>23</v>
      </c>
      <c r="E341" s="20">
        <v>1</v>
      </c>
      <c r="F341" s="20" t="s">
        <v>744</v>
      </c>
      <c r="G341" s="20" t="s">
        <v>994</v>
      </c>
      <c r="H341" s="5">
        <f t="shared" si="5"/>
        <v>171.8146470588236</v>
      </c>
      <c r="I341" s="21">
        <v>0.22741176470588234</v>
      </c>
      <c r="J341" s="21">
        <v>0.46894117647058819</v>
      </c>
      <c r="K341" s="21">
        <v>6.6128235294117639</v>
      </c>
      <c r="L341" s="6">
        <v>0.70032352941176457</v>
      </c>
      <c r="M341" s="21">
        <v>0.10455882352941175</v>
      </c>
      <c r="N341" s="21">
        <v>46.092441176470587</v>
      </c>
      <c r="O341" s="21">
        <v>0</v>
      </c>
      <c r="P341" s="21">
        <v>0</v>
      </c>
      <c r="Q341" s="21">
        <v>14.508235294117647</v>
      </c>
      <c r="R341" s="21">
        <v>0.13391176470588234</v>
      </c>
      <c r="S341" s="21">
        <v>8.9898235294117637</v>
      </c>
      <c r="T341" s="21">
        <v>0</v>
      </c>
      <c r="U341" s="21">
        <v>0</v>
      </c>
      <c r="V341" s="21">
        <v>46.284735294117645</v>
      </c>
      <c r="W341" s="21">
        <v>2.8888529411764705</v>
      </c>
      <c r="X341" s="21">
        <v>38.503852941176469</v>
      </c>
      <c r="Y341" s="21">
        <v>7.2558823529411759E-2</v>
      </c>
      <c r="Z341" s="21">
        <v>2.0207941176470587</v>
      </c>
      <c r="AA341" s="21">
        <v>0.51635294117647057</v>
      </c>
      <c r="AB341" s="21">
        <v>0.73558823529411754</v>
      </c>
      <c r="AC341" s="21">
        <v>1.7045588235294116</v>
      </c>
      <c r="AD341" s="21">
        <v>7.7647058823529409E-3</v>
      </c>
      <c r="AE341" s="21">
        <v>0.11108823529411763</v>
      </c>
      <c r="AF341" s="21">
        <v>3.6823529411764699E-2</v>
      </c>
      <c r="AG341" s="21">
        <v>0.29226470588235293</v>
      </c>
      <c r="AH341" s="21">
        <v>0.13973529411764704</v>
      </c>
      <c r="AI341" s="21">
        <v>3.4882352941176469E-2</v>
      </c>
      <c r="AJ341" s="21">
        <v>0.62632352941176461</v>
      </c>
    </row>
    <row r="342" spans="1:36" x14ac:dyDescent="0.25">
      <c r="A342" s="17" t="s">
        <v>753</v>
      </c>
      <c r="B342" s="18" t="s">
        <v>754</v>
      </c>
      <c r="C342" s="19" t="s">
        <v>20</v>
      </c>
      <c r="D342" s="20" t="s">
        <v>25</v>
      </c>
      <c r="E342" s="20">
        <v>1</v>
      </c>
      <c r="F342" s="20" t="s">
        <v>744</v>
      </c>
      <c r="G342" s="20" t="s">
        <v>994</v>
      </c>
      <c r="H342" s="5">
        <f t="shared" si="5"/>
        <v>215.494</v>
      </c>
      <c r="I342" s="21">
        <v>0.24238235294117644</v>
      </c>
      <c r="J342" s="21">
        <v>0.57147058823529406</v>
      </c>
      <c r="K342" s="21">
        <v>7.6959999999999988</v>
      </c>
      <c r="L342" s="6">
        <v>0.76849999999999996</v>
      </c>
      <c r="M342" s="21">
        <v>0.17252941176470585</v>
      </c>
      <c r="N342" s="21">
        <v>48.742647058823529</v>
      </c>
      <c r="O342" s="21">
        <v>8.8823529411764697E-3</v>
      </c>
      <c r="P342" s="21">
        <v>1.6323529411764705E-2</v>
      </c>
      <c r="Q342" s="21">
        <v>16.391352941176468</v>
      </c>
      <c r="R342" s="21">
        <v>0.21255882352941174</v>
      </c>
      <c r="S342" s="21">
        <v>8.9980294117647048</v>
      </c>
      <c r="T342" s="21">
        <v>0</v>
      </c>
      <c r="U342" s="21">
        <v>0</v>
      </c>
      <c r="V342" s="21">
        <v>61.167352941176468</v>
      </c>
      <c r="W342" s="21">
        <v>4.658294117647058</v>
      </c>
      <c r="X342" s="21">
        <v>57.764911764705879</v>
      </c>
      <c r="Y342" s="21">
        <v>0.13285294117647059</v>
      </c>
      <c r="Z342" s="21">
        <v>2.9724411764705878</v>
      </c>
      <c r="AA342" s="21">
        <v>0.48220588235294115</v>
      </c>
      <c r="AB342" s="21">
        <v>1.1849411764705882</v>
      </c>
      <c r="AC342" s="21">
        <v>1.8885000000000001</v>
      </c>
      <c r="AD342" s="21">
        <v>2.1294117647058821E-2</v>
      </c>
      <c r="AE342" s="21">
        <v>0.11855882352941174</v>
      </c>
      <c r="AF342" s="21">
        <v>4.2911764705882351E-2</v>
      </c>
      <c r="AG342" s="21">
        <v>0.20282352941176468</v>
      </c>
      <c r="AH342" s="21">
        <v>0.20691176470588232</v>
      </c>
      <c r="AI342" s="21">
        <v>3.1264705882352938E-2</v>
      </c>
      <c r="AJ342" s="21">
        <v>0.79805882352941182</v>
      </c>
    </row>
    <row r="343" spans="1:36" x14ac:dyDescent="0.25">
      <c r="A343" s="17" t="s">
        <v>755</v>
      </c>
      <c r="B343" s="18" t="s">
        <v>756</v>
      </c>
      <c r="C343" s="19" t="s">
        <v>20</v>
      </c>
      <c r="D343" s="20" t="s">
        <v>37</v>
      </c>
      <c r="E343" s="20">
        <v>2</v>
      </c>
      <c r="F343" s="20" t="s">
        <v>744</v>
      </c>
      <c r="G343" s="20" t="s">
        <v>994</v>
      </c>
      <c r="H343" s="5">
        <f t="shared" si="5"/>
        <v>215.40005882352938</v>
      </c>
      <c r="I343" s="21">
        <v>0.20779411764705882</v>
      </c>
      <c r="J343" s="21">
        <v>0.46876470588235286</v>
      </c>
      <c r="K343" s="21">
        <v>6.3651764705882341</v>
      </c>
      <c r="L343" s="6">
        <v>0.32991176470588235</v>
      </c>
      <c r="M343" s="21">
        <v>0.11799999999999999</v>
      </c>
      <c r="N343" s="21">
        <v>50.462941176470579</v>
      </c>
      <c r="O343" s="21">
        <v>2.0264705882352942E-2</v>
      </c>
      <c r="P343" s="21">
        <v>0</v>
      </c>
      <c r="Q343" s="21">
        <v>10.669499999999999</v>
      </c>
      <c r="R343" s="21">
        <v>0.20755882352941174</v>
      </c>
      <c r="S343" s="21">
        <v>15.519823529411765</v>
      </c>
      <c r="T343" s="21">
        <v>0</v>
      </c>
      <c r="U343" s="21">
        <v>0</v>
      </c>
      <c r="V343" s="21">
        <v>68.002382352941169</v>
      </c>
      <c r="W343" s="21">
        <v>4.117058823529411</v>
      </c>
      <c r="X343" s="21">
        <v>50.14258823529412</v>
      </c>
      <c r="Y343" s="21">
        <v>7.5617647058823526E-2</v>
      </c>
      <c r="Z343" s="21">
        <v>1.6721764705882354</v>
      </c>
      <c r="AA343" s="21">
        <v>0.89376470588235279</v>
      </c>
      <c r="AB343" s="21">
        <v>0.98911764705882343</v>
      </c>
      <c r="AC343" s="21">
        <v>3.3340882352941175</v>
      </c>
      <c r="AD343" s="21">
        <v>1.3735294117647057E-2</v>
      </c>
      <c r="AE343" s="21">
        <v>0.16935294117647057</v>
      </c>
      <c r="AF343" s="21">
        <v>4.0470588235294112E-2</v>
      </c>
      <c r="AG343" s="21">
        <v>0.11555882352941176</v>
      </c>
      <c r="AH343" s="21">
        <v>0.22147058823529411</v>
      </c>
      <c r="AI343" s="21">
        <v>5.5735294117647056E-2</v>
      </c>
      <c r="AJ343" s="21">
        <v>1.187205882352941</v>
      </c>
    </row>
    <row r="344" spans="1:36" x14ac:dyDescent="0.25">
      <c r="A344" s="17" t="s">
        <v>757</v>
      </c>
      <c r="B344" s="18" t="s">
        <v>758</v>
      </c>
      <c r="C344" s="19" t="s">
        <v>20</v>
      </c>
      <c r="D344" s="20" t="s">
        <v>39</v>
      </c>
      <c r="E344" s="20">
        <v>2</v>
      </c>
      <c r="F344" s="20" t="s">
        <v>744</v>
      </c>
      <c r="G344" s="20" t="s">
        <v>994</v>
      </c>
      <c r="H344" s="5">
        <f t="shared" si="5"/>
        <v>174.49752941176473</v>
      </c>
      <c r="I344" s="21">
        <v>0.18255882352941175</v>
      </c>
      <c r="J344" s="21">
        <v>0.37417647058823528</v>
      </c>
      <c r="K344" s="21">
        <v>4.1412941176470586</v>
      </c>
      <c r="L344" s="6">
        <v>0.19602941176470587</v>
      </c>
      <c r="M344" s="21">
        <v>0.11620588235294117</v>
      </c>
      <c r="N344" s="21">
        <v>37.903470588235294</v>
      </c>
      <c r="O344" s="21">
        <v>0.15252941176470589</v>
      </c>
      <c r="P344" s="21">
        <v>0.17320588235294115</v>
      </c>
      <c r="Q344" s="21">
        <v>7.019058823529412</v>
      </c>
      <c r="R344" s="21">
        <v>0.19302941176470584</v>
      </c>
      <c r="S344" s="21">
        <v>11.191911764705882</v>
      </c>
      <c r="T344" s="21">
        <v>0</v>
      </c>
      <c r="U344" s="21">
        <v>1.8970588235294118E-2</v>
      </c>
      <c r="V344" s="21">
        <v>57.989147058823526</v>
      </c>
      <c r="W344" s="21">
        <v>3.1855588235294117</v>
      </c>
      <c r="X344" s="21">
        <v>45.473735294117638</v>
      </c>
      <c r="Y344" s="21">
        <v>9.3323529411764708E-2</v>
      </c>
      <c r="Z344" s="21">
        <v>1.5933235294117647</v>
      </c>
      <c r="AA344" s="21">
        <v>0.60152941176470587</v>
      </c>
      <c r="AB344" s="21">
        <v>0.98199999999999998</v>
      </c>
      <c r="AC344" s="21">
        <v>1.8876764705882352</v>
      </c>
      <c r="AD344" s="21">
        <v>1.3970588235294117E-2</v>
      </c>
      <c r="AE344" s="21">
        <v>0.14858823529411763</v>
      </c>
      <c r="AF344" s="21">
        <v>3.5176470588235295E-2</v>
      </c>
      <c r="AG344" s="21">
        <v>9.7117647058823517E-2</v>
      </c>
      <c r="AH344" s="21">
        <v>0.14499999999999999</v>
      </c>
      <c r="AI344" s="21">
        <v>4.1147058823529412E-2</v>
      </c>
      <c r="AJ344" s="21">
        <v>0.54779411764705876</v>
      </c>
    </row>
    <row r="345" spans="1:36" x14ac:dyDescent="0.25">
      <c r="A345" s="17" t="s">
        <v>759</v>
      </c>
      <c r="B345" s="18" t="s">
        <v>760</v>
      </c>
      <c r="C345" s="19" t="s">
        <v>20</v>
      </c>
      <c r="D345" s="20" t="s">
        <v>41</v>
      </c>
      <c r="E345" s="20">
        <v>2</v>
      </c>
      <c r="F345" s="20" t="s">
        <v>744</v>
      </c>
      <c r="G345" s="20" t="s">
        <v>994</v>
      </c>
      <c r="H345" s="5">
        <f t="shared" si="5"/>
        <v>154.95658823529411</v>
      </c>
      <c r="I345" s="21">
        <v>0.20841176470588235</v>
      </c>
      <c r="J345" s="21">
        <v>0.41961764705882348</v>
      </c>
      <c r="K345" s="21">
        <v>4.7670882352941177</v>
      </c>
      <c r="L345" s="6">
        <v>0.3251470588235294</v>
      </c>
      <c r="M345" s="21">
        <v>0.11108823529411763</v>
      </c>
      <c r="N345" s="21">
        <v>39.093470588235292</v>
      </c>
      <c r="O345" s="21">
        <v>7.5411764705882345E-2</v>
      </c>
      <c r="P345" s="21">
        <v>0.10917647058823529</v>
      </c>
      <c r="Q345" s="21">
        <v>9.3882058823529402</v>
      </c>
      <c r="R345" s="21">
        <v>0.15214705882352939</v>
      </c>
      <c r="S345" s="21">
        <v>8.6224999999999987</v>
      </c>
      <c r="T345" s="21">
        <v>0</v>
      </c>
      <c r="U345" s="21">
        <v>3.1235294117647056E-2</v>
      </c>
      <c r="V345" s="21">
        <v>48.465205882352933</v>
      </c>
      <c r="W345" s="21">
        <v>3.1927941176470584</v>
      </c>
      <c r="X345" s="21">
        <v>35.220029411764699</v>
      </c>
      <c r="Y345" s="21">
        <v>7.5764705882352942E-2</v>
      </c>
      <c r="Z345" s="21">
        <v>1.5419705882352941</v>
      </c>
      <c r="AA345" s="21">
        <v>0.3417941176470588</v>
      </c>
      <c r="AB345" s="21">
        <v>0.64202941176470585</v>
      </c>
      <c r="AC345" s="21">
        <v>1.3332352941176469</v>
      </c>
      <c r="AD345" s="21">
        <v>5.6176470588235293E-3</v>
      </c>
      <c r="AE345" s="21">
        <v>9.3823529411764695E-2</v>
      </c>
      <c r="AF345" s="21">
        <v>2.4852941176470585E-2</v>
      </c>
      <c r="AG345" s="21">
        <v>5.3176470588235283E-2</v>
      </c>
      <c r="AH345" s="21">
        <v>0.12958823529411764</v>
      </c>
      <c r="AI345" s="21">
        <v>3.229411764705882E-2</v>
      </c>
      <c r="AJ345" s="21">
        <v>0.50091176470588228</v>
      </c>
    </row>
    <row r="346" spans="1:36" x14ac:dyDescent="0.25">
      <c r="A346" s="17" t="s">
        <v>761</v>
      </c>
      <c r="B346" s="18" t="s">
        <v>762</v>
      </c>
      <c r="C346" s="19" t="s">
        <v>20</v>
      </c>
      <c r="D346" s="20" t="s">
        <v>33</v>
      </c>
      <c r="E346" s="20">
        <v>2</v>
      </c>
      <c r="F346" s="20" t="s">
        <v>744</v>
      </c>
      <c r="G346" s="20" t="s">
        <v>994</v>
      </c>
      <c r="H346" s="5">
        <f t="shared" si="5"/>
        <v>197.82917647058821</v>
      </c>
      <c r="I346" s="21">
        <v>0.23905882352941177</v>
      </c>
      <c r="J346" s="21">
        <v>0.5199117647058823</v>
      </c>
      <c r="K346" s="21">
        <v>7.2349705882352939</v>
      </c>
      <c r="L346" s="6">
        <v>0.81952941176470584</v>
      </c>
      <c r="M346" s="21">
        <v>0.13470588235294118</v>
      </c>
      <c r="N346" s="21">
        <v>48.513323529411764</v>
      </c>
      <c r="O346" s="21">
        <v>3.1529411764705882E-2</v>
      </c>
      <c r="P346" s="21">
        <v>4.5676470588235291E-2</v>
      </c>
      <c r="Q346" s="21">
        <v>17.946147058823527</v>
      </c>
      <c r="R346" s="21">
        <v>0.15999999999999998</v>
      </c>
      <c r="S346" s="21">
        <v>8.661676470588235</v>
      </c>
      <c r="T346" s="21">
        <v>0</v>
      </c>
      <c r="U346" s="21">
        <v>3.4205882352941176E-2</v>
      </c>
      <c r="V346" s="21">
        <v>57.264911764705879</v>
      </c>
      <c r="W346" s="21">
        <v>4.1939411764705881</v>
      </c>
      <c r="X346" s="21">
        <v>45.778705882352938</v>
      </c>
      <c r="Y346" s="21">
        <v>8.6794117647058827E-2</v>
      </c>
      <c r="Z346" s="21">
        <v>2.2554117647058822</v>
      </c>
      <c r="AA346" s="21">
        <v>0.4361176470588235</v>
      </c>
      <c r="AB346" s="21">
        <v>0.88188235294117634</v>
      </c>
      <c r="AC346" s="21">
        <v>1.4213823529411762</v>
      </c>
      <c r="AD346" s="21">
        <v>1.1088235294117645E-2</v>
      </c>
      <c r="AE346" s="21">
        <v>0.1196470588235294</v>
      </c>
      <c r="AF346" s="21">
        <v>3.0088235294117645E-2</v>
      </c>
      <c r="AG346" s="21">
        <v>0.18420588235294116</v>
      </c>
      <c r="AH346" s="21">
        <v>0.15952941176470586</v>
      </c>
      <c r="AI346" s="21">
        <v>3.6647058823529408E-2</v>
      </c>
      <c r="AJ346" s="21">
        <v>0.62808823529411761</v>
      </c>
    </row>
    <row r="347" spans="1:36" x14ac:dyDescent="0.25">
      <c r="A347" s="17" t="s">
        <v>763</v>
      </c>
      <c r="B347" s="18" t="s">
        <v>764</v>
      </c>
      <c r="C347" s="19" t="s">
        <v>20</v>
      </c>
      <c r="D347" s="20" t="s">
        <v>35</v>
      </c>
      <c r="E347" s="20">
        <v>2</v>
      </c>
      <c r="F347" s="20" t="s">
        <v>744</v>
      </c>
      <c r="G347" s="20" t="s">
        <v>994</v>
      </c>
      <c r="H347" s="5">
        <f t="shared" si="5"/>
        <v>232.5913529411765</v>
      </c>
      <c r="I347" s="21">
        <v>0.19676470588235292</v>
      </c>
      <c r="J347" s="21">
        <v>0.51344117647058818</v>
      </c>
      <c r="K347" s="21">
        <v>6.5708529411764705</v>
      </c>
      <c r="L347" s="6">
        <v>0.42267647058823526</v>
      </c>
      <c r="M347" s="21">
        <v>0.19785294117647056</v>
      </c>
      <c r="N347" s="21">
        <v>52.980499999999992</v>
      </c>
      <c r="O347" s="21">
        <v>0.10717647058823529</v>
      </c>
      <c r="P347" s="21">
        <v>0.11988235294117645</v>
      </c>
      <c r="Q347" s="21">
        <v>12.808088235294116</v>
      </c>
      <c r="R347" s="21">
        <v>0.31570588235294117</v>
      </c>
      <c r="S347" s="21">
        <v>12.900029411764704</v>
      </c>
      <c r="T347" s="21">
        <v>0</v>
      </c>
      <c r="U347" s="21">
        <v>2.038235294117647E-2</v>
      </c>
      <c r="V347" s="21">
        <v>69.230411764705877</v>
      </c>
      <c r="W347" s="21">
        <v>5.3529999999999998</v>
      </c>
      <c r="X347" s="21">
        <v>62.102176470588233</v>
      </c>
      <c r="Y347" s="21">
        <v>0.15405882352941175</v>
      </c>
      <c r="Z347" s="21">
        <v>2.7833529411764704</v>
      </c>
      <c r="AA347" s="21">
        <v>0.4040294117647058</v>
      </c>
      <c r="AB347" s="21">
        <v>1.0230294117647056</v>
      </c>
      <c r="AC347" s="21">
        <v>2.2057647058823528</v>
      </c>
      <c r="AD347" s="21">
        <v>1.4911764705882352E-2</v>
      </c>
      <c r="AE347" s="21">
        <v>0.14638235294117646</v>
      </c>
      <c r="AF347" s="21">
        <v>3.0529411764705881E-2</v>
      </c>
      <c r="AG347" s="21">
        <v>0.29917647058823527</v>
      </c>
      <c r="AH347" s="21">
        <v>0.46808823529411764</v>
      </c>
      <c r="AI347" s="21">
        <v>5.8911764705882344E-2</v>
      </c>
      <c r="AJ347" s="21">
        <v>1.1641764705882351</v>
      </c>
    </row>
    <row r="348" spans="1:36" x14ac:dyDescent="0.25">
      <c r="A348" s="17" t="s">
        <v>765</v>
      </c>
      <c r="B348" s="18" t="s">
        <v>766</v>
      </c>
      <c r="C348" s="19" t="s">
        <v>20</v>
      </c>
      <c r="D348" s="20" t="s">
        <v>47</v>
      </c>
      <c r="E348" s="20">
        <v>6</v>
      </c>
      <c r="F348" s="20" t="s">
        <v>744</v>
      </c>
      <c r="G348" s="20" t="s">
        <v>994</v>
      </c>
      <c r="H348" s="5">
        <f t="shared" si="5"/>
        <v>179.07479411764703</v>
      </c>
      <c r="I348" s="21">
        <v>0.13879411764705882</v>
      </c>
      <c r="J348" s="21">
        <v>0.40632352941176464</v>
      </c>
      <c r="K348" s="21">
        <v>4.9542352941176464</v>
      </c>
      <c r="L348" s="6">
        <v>0.29761764705882349</v>
      </c>
      <c r="M348" s="21">
        <v>0.1394705882352941</v>
      </c>
      <c r="N348" s="21">
        <v>40.429823529411763</v>
      </c>
      <c r="O348" s="21">
        <v>0.1744705882352941</v>
      </c>
      <c r="P348" s="21">
        <v>0.27314705882352935</v>
      </c>
      <c r="Q348" s="21">
        <v>7.2772941176470578</v>
      </c>
      <c r="R348" s="21">
        <v>0.19929411764705882</v>
      </c>
      <c r="S348" s="21">
        <v>10.009411764705881</v>
      </c>
      <c r="T348" s="21">
        <v>1.6647058823529411E-2</v>
      </c>
      <c r="U348" s="21">
        <v>6.802941176470588E-2</v>
      </c>
      <c r="V348" s="21">
        <v>60.067617647058817</v>
      </c>
      <c r="W348" s="21">
        <v>3.6631764705882346</v>
      </c>
      <c r="X348" s="21">
        <v>44.87855882352941</v>
      </c>
      <c r="Y348" s="21">
        <v>8.511764705882352E-2</v>
      </c>
      <c r="Z348" s="21">
        <v>1.5380294117647058</v>
      </c>
      <c r="AA348" s="21">
        <v>0.4210882352941176</v>
      </c>
      <c r="AB348" s="21">
        <v>0.90711764705882358</v>
      </c>
      <c r="AC348" s="21">
        <v>1.7645588235294116</v>
      </c>
      <c r="AD348" s="21">
        <v>8.382352941176471E-3</v>
      </c>
      <c r="AE348" s="21">
        <v>0.14908823529411763</v>
      </c>
      <c r="AF348" s="21">
        <v>2.7294117647058823E-2</v>
      </c>
      <c r="AG348" s="21">
        <v>0.22114705882352942</v>
      </c>
      <c r="AH348" s="21">
        <v>0.17908823529411763</v>
      </c>
      <c r="AI348" s="21">
        <v>5.2323529411764699E-2</v>
      </c>
      <c r="AJ348" s="21">
        <v>0.72764705882352942</v>
      </c>
    </row>
    <row r="349" spans="1:36" x14ac:dyDescent="0.25">
      <c r="A349" s="17" t="s">
        <v>767</v>
      </c>
      <c r="B349" s="18" t="s">
        <v>768</v>
      </c>
      <c r="C349" s="19" t="s">
        <v>20</v>
      </c>
      <c r="D349" s="20" t="s">
        <v>49</v>
      </c>
      <c r="E349" s="20">
        <v>6</v>
      </c>
      <c r="F349" s="20" t="s">
        <v>744</v>
      </c>
      <c r="G349" s="20" t="s">
        <v>994</v>
      </c>
      <c r="H349" s="5">
        <f t="shared" si="5"/>
        <v>158.98864705882349</v>
      </c>
      <c r="I349" s="21">
        <v>0.12473529411764706</v>
      </c>
      <c r="J349" s="21">
        <v>0.34429411764705881</v>
      </c>
      <c r="K349" s="21">
        <v>4.2123235294117647</v>
      </c>
      <c r="L349" s="6">
        <v>0.24073529411764705</v>
      </c>
      <c r="M349" s="21">
        <v>0.13373529411764704</v>
      </c>
      <c r="N349" s="21">
        <v>35.204911764705884</v>
      </c>
      <c r="O349" s="21">
        <v>0.29102941176470587</v>
      </c>
      <c r="P349" s="21">
        <v>0.39670588235294113</v>
      </c>
      <c r="Q349" s="21">
        <v>6.4797941176470575</v>
      </c>
      <c r="R349" s="21">
        <v>0.19285294117647059</v>
      </c>
      <c r="S349" s="21">
        <v>9.3993529411764705</v>
      </c>
      <c r="T349" s="21">
        <v>3.3823529411764704E-2</v>
      </c>
      <c r="U349" s="21">
        <v>0.12620588235294117</v>
      </c>
      <c r="V349" s="21">
        <v>54.304647058823527</v>
      </c>
      <c r="W349" s="21">
        <v>2.9874705882352943</v>
      </c>
      <c r="X349" s="21">
        <v>38.980558823529407</v>
      </c>
      <c r="Y349" s="21">
        <v>6.8411764705882352E-2</v>
      </c>
      <c r="Z349" s="21">
        <v>1.4614117647058822</v>
      </c>
      <c r="AA349" s="21">
        <v>0.4024117647058823</v>
      </c>
      <c r="AB349" s="21">
        <v>0.75158823529411756</v>
      </c>
      <c r="AC349" s="21">
        <v>1.7307941176470589</v>
      </c>
      <c r="AD349" s="21">
        <v>7.6470588235294104E-3</v>
      </c>
      <c r="AE349" s="21">
        <v>0.11858823529411765</v>
      </c>
      <c r="AF349" s="21">
        <v>2.6588235294117642E-2</v>
      </c>
      <c r="AG349" s="21">
        <v>0.18732352941176469</v>
      </c>
      <c r="AH349" s="21">
        <v>0.1386470588235294</v>
      </c>
      <c r="AI349" s="21">
        <v>2.4205882352941174E-2</v>
      </c>
      <c r="AJ349" s="21">
        <v>0.6178529411764706</v>
      </c>
    </row>
    <row r="350" spans="1:36" x14ac:dyDescent="0.25">
      <c r="A350" s="17" t="s">
        <v>769</v>
      </c>
      <c r="B350" s="18" t="s">
        <v>770</v>
      </c>
      <c r="C350" s="19" t="s">
        <v>20</v>
      </c>
      <c r="D350" s="20" t="s">
        <v>45</v>
      </c>
      <c r="E350" s="20">
        <v>6</v>
      </c>
      <c r="F350" s="20" t="s">
        <v>744</v>
      </c>
      <c r="G350" s="20" t="s">
        <v>994</v>
      </c>
      <c r="H350" s="5">
        <f t="shared" si="5"/>
        <v>195.33767647058824</v>
      </c>
      <c r="I350" s="21">
        <v>0.1837941176470588</v>
      </c>
      <c r="J350" s="21">
        <v>0.41402941176470587</v>
      </c>
      <c r="K350" s="21">
        <v>4.8569411764705874</v>
      </c>
      <c r="L350" s="6">
        <v>0.24091176470588233</v>
      </c>
      <c r="M350" s="21">
        <v>0.13688235294117646</v>
      </c>
      <c r="N350" s="21">
        <v>42.740499999999997</v>
      </c>
      <c r="O350" s="21">
        <v>0.45073529411764701</v>
      </c>
      <c r="P350" s="21">
        <v>0.5708823529411764</v>
      </c>
      <c r="Q350" s="21">
        <v>7.6583529411764699</v>
      </c>
      <c r="R350" s="21">
        <v>0.21149999999999999</v>
      </c>
      <c r="S350" s="21">
        <v>12.214294117647059</v>
      </c>
      <c r="T350" s="21">
        <v>5.1294117647058823E-2</v>
      </c>
      <c r="U350" s="21">
        <v>0.16497058823529412</v>
      </c>
      <c r="V350" s="21">
        <v>72.095264705882343</v>
      </c>
      <c r="W350" s="21">
        <v>3.3555294117647052</v>
      </c>
      <c r="X350" s="21">
        <v>43.751205882352942</v>
      </c>
      <c r="Y350" s="21">
        <v>9.1411764705882345E-2</v>
      </c>
      <c r="Z350" s="21">
        <v>1.6995882352941176</v>
      </c>
      <c r="AA350" s="21">
        <v>0.52085294117647052</v>
      </c>
      <c r="AB350" s="21">
        <v>0.87344117647058817</v>
      </c>
      <c r="AC350" s="21">
        <v>1.8863529411764706</v>
      </c>
      <c r="AD350" s="21">
        <v>9.8823529411764706E-3</v>
      </c>
      <c r="AE350" s="21">
        <v>0.14420588235294116</v>
      </c>
      <c r="AF350" s="21">
        <v>2.902941176470588E-2</v>
      </c>
      <c r="AG350" s="21">
        <v>0.17632352941176471</v>
      </c>
      <c r="AH350" s="21">
        <v>0.16673529411764704</v>
      </c>
      <c r="AI350" s="21">
        <v>3.2352941176470584E-2</v>
      </c>
      <c r="AJ350" s="21">
        <v>0.61041176470588232</v>
      </c>
    </row>
    <row r="351" spans="1:36" x14ac:dyDescent="0.25">
      <c r="A351" s="17" t="s">
        <v>771</v>
      </c>
      <c r="B351" s="18" t="s">
        <v>772</v>
      </c>
      <c r="C351" s="19" t="s">
        <v>20</v>
      </c>
      <c r="D351" s="20" t="s">
        <v>43</v>
      </c>
      <c r="E351" s="20">
        <v>6</v>
      </c>
      <c r="F351" s="20" t="s">
        <v>744</v>
      </c>
      <c r="G351" s="20" t="s">
        <v>994</v>
      </c>
      <c r="H351" s="5">
        <f t="shared" si="5"/>
        <v>224.49717647058824</v>
      </c>
      <c r="I351" s="21">
        <v>0.23282352941176468</v>
      </c>
      <c r="J351" s="21">
        <v>0.62379411764705872</v>
      </c>
      <c r="K351" s="21">
        <v>7.3209117647058823</v>
      </c>
      <c r="L351" s="6">
        <v>0.67599999999999993</v>
      </c>
      <c r="M351" s="21">
        <v>0.16394117647058823</v>
      </c>
      <c r="N351" s="21">
        <v>51.145323529411762</v>
      </c>
      <c r="O351" s="21">
        <v>6.2235294117647062E-2</v>
      </c>
      <c r="P351" s="21">
        <v>0.12447058823529412</v>
      </c>
      <c r="Q351" s="21">
        <v>14.109764705882352</v>
      </c>
      <c r="R351" s="21">
        <v>0.21070588235294116</v>
      </c>
      <c r="S351" s="21">
        <v>12.108411764705881</v>
      </c>
      <c r="T351" s="21">
        <v>0</v>
      </c>
      <c r="U351" s="21">
        <v>7.114705882352941E-2</v>
      </c>
      <c r="V351" s="21">
        <v>68.913441176470585</v>
      </c>
      <c r="W351" s="21">
        <v>4.0864411764705872</v>
      </c>
      <c r="X351" s="21">
        <v>56.488176470588229</v>
      </c>
      <c r="Y351" s="21">
        <v>0.12455882352941175</v>
      </c>
      <c r="Z351" s="21">
        <v>2.8204705882352941</v>
      </c>
      <c r="AA351" s="21">
        <v>0.73052941176470576</v>
      </c>
      <c r="AB351" s="21">
        <v>1.2475294117647058</v>
      </c>
      <c r="AC351" s="21">
        <v>1.8818529411764704</v>
      </c>
      <c r="AD351" s="21">
        <v>1.6352941176470587E-2</v>
      </c>
      <c r="AE351" s="21">
        <v>0.1371470588235294</v>
      </c>
      <c r="AF351" s="21">
        <v>3.8941176470588229E-2</v>
      </c>
      <c r="AG351" s="21">
        <v>0.21044117647058821</v>
      </c>
      <c r="AH351" s="21">
        <v>0.17367647058823527</v>
      </c>
      <c r="AI351" s="21">
        <v>4.9205882352941169E-2</v>
      </c>
      <c r="AJ351" s="21">
        <v>0.72888235294117643</v>
      </c>
    </row>
    <row r="352" spans="1:36" x14ac:dyDescent="0.25">
      <c r="A352" s="17" t="s">
        <v>773</v>
      </c>
      <c r="B352" s="18" t="s">
        <v>774</v>
      </c>
      <c r="C352" s="19" t="s">
        <v>20</v>
      </c>
      <c r="D352" s="20" t="s">
        <v>21</v>
      </c>
      <c r="E352" s="20">
        <v>0</v>
      </c>
      <c r="F352" s="20" t="s">
        <v>775</v>
      </c>
      <c r="G352" s="20" t="s">
        <v>994</v>
      </c>
      <c r="H352" s="5">
        <f t="shared" si="5"/>
        <v>263.92944117647045</v>
      </c>
      <c r="I352" s="21">
        <v>0.19091176470588234</v>
      </c>
      <c r="J352" s="21">
        <v>0.50379411764705873</v>
      </c>
      <c r="K352" s="21">
        <v>5.3682058823529406</v>
      </c>
      <c r="L352" s="6">
        <v>0.27508823529411763</v>
      </c>
      <c r="M352" s="21">
        <v>0.28726470588235292</v>
      </c>
      <c r="N352" s="21">
        <v>63.513029411764698</v>
      </c>
      <c r="O352" s="21">
        <v>0</v>
      </c>
      <c r="P352" s="21">
        <v>0</v>
      </c>
      <c r="Q352" s="21">
        <v>15.285499999999999</v>
      </c>
      <c r="R352" s="21">
        <v>0.33741176470588236</v>
      </c>
      <c r="S352" s="21">
        <v>15.371617647058823</v>
      </c>
      <c r="T352" s="21">
        <v>0</v>
      </c>
      <c r="U352" s="21">
        <v>0</v>
      </c>
      <c r="V352" s="21">
        <v>84.392999999999986</v>
      </c>
      <c r="W352" s="21">
        <v>5.5996470588235292</v>
      </c>
      <c r="X352" s="21">
        <v>65.791088235294112</v>
      </c>
      <c r="Y352" s="21">
        <v>0.22811764705882354</v>
      </c>
      <c r="Z352" s="21">
        <v>3.3930882352941176</v>
      </c>
      <c r="AA352" s="21">
        <v>0.25899999999999995</v>
      </c>
      <c r="AB352" s="21">
        <v>1.0714705882352942</v>
      </c>
      <c r="AC352" s="21">
        <v>1.277735294117647</v>
      </c>
      <c r="AD352" s="21">
        <v>1.3264705882352941E-2</v>
      </c>
      <c r="AE352" s="21">
        <v>7.7058823529411763E-2</v>
      </c>
      <c r="AF352" s="21">
        <v>3.0558823529411763E-2</v>
      </c>
      <c r="AG352" s="21">
        <v>0.12835294117647059</v>
      </c>
      <c r="AH352" s="21">
        <v>0.16126470588235292</v>
      </c>
      <c r="AI352" s="21">
        <v>4.7470588235294119E-2</v>
      </c>
      <c r="AJ352" s="21">
        <v>0.32550000000000001</v>
      </c>
    </row>
    <row r="353" spans="1:36" x14ac:dyDescent="0.25">
      <c r="A353" s="17" t="s">
        <v>776</v>
      </c>
      <c r="B353" s="18" t="s">
        <v>777</v>
      </c>
      <c r="C353" s="19" t="s">
        <v>20</v>
      </c>
      <c r="D353" s="20" t="s">
        <v>27</v>
      </c>
      <c r="E353" s="20">
        <v>1</v>
      </c>
      <c r="F353" s="20" t="s">
        <v>775</v>
      </c>
      <c r="G353" s="20" t="s">
        <v>994</v>
      </c>
      <c r="H353" s="5">
        <f t="shared" si="5"/>
        <v>182.6346764705882</v>
      </c>
      <c r="I353" s="21">
        <v>0.16226470588235292</v>
      </c>
      <c r="J353" s="21">
        <v>0.35579411764705876</v>
      </c>
      <c r="K353" s="21">
        <v>3.4537352941176467</v>
      </c>
      <c r="L353" s="6">
        <v>0.23382352941176468</v>
      </c>
      <c r="M353" s="21">
        <v>0.19329411764705881</v>
      </c>
      <c r="N353" s="21">
        <v>41.734264705882353</v>
      </c>
      <c r="O353" s="21">
        <v>0</v>
      </c>
      <c r="P353" s="21">
        <v>0</v>
      </c>
      <c r="Q353" s="21">
        <v>12.204882352941175</v>
      </c>
      <c r="R353" s="21">
        <v>0.22179411764705881</v>
      </c>
      <c r="S353" s="21">
        <v>7.6128529411764694</v>
      </c>
      <c r="T353" s="21">
        <v>0</v>
      </c>
      <c r="U353" s="21">
        <v>0</v>
      </c>
      <c r="V353" s="21">
        <v>58.603088235294109</v>
      </c>
      <c r="W353" s="21">
        <v>3.9391470588235289</v>
      </c>
      <c r="X353" s="21">
        <v>49.386764705882349</v>
      </c>
      <c r="Y353" s="21">
        <v>0.13470588235294118</v>
      </c>
      <c r="Z353" s="21">
        <v>2.3957941176470587</v>
      </c>
      <c r="AA353" s="21">
        <v>0.14926470588235294</v>
      </c>
      <c r="AB353" s="21">
        <v>0.74832352941176461</v>
      </c>
      <c r="AC353" s="21">
        <v>0.66238235294117642</v>
      </c>
      <c r="AD353" s="21">
        <v>5.3823529411764701E-3</v>
      </c>
      <c r="AE353" s="21">
        <v>4.4411764705882352E-2</v>
      </c>
      <c r="AF353" s="21">
        <v>1.8617647058823527E-2</v>
      </c>
      <c r="AG353" s="21">
        <v>0.10673529411764705</v>
      </c>
      <c r="AH353" s="21">
        <v>9.1882352941176471E-2</v>
      </c>
      <c r="AI353" s="21">
        <v>2.1058823529411762E-2</v>
      </c>
      <c r="AJ353" s="21">
        <v>0.15441176470588233</v>
      </c>
    </row>
    <row r="354" spans="1:36" x14ac:dyDescent="0.25">
      <c r="A354" s="17" t="s">
        <v>778</v>
      </c>
      <c r="B354" s="18" t="s">
        <v>779</v>
      </c>
      <c r="C354" s="19" t="s">
        <v>20</v>
      </c>
      <c r="D354" s="20" t="s">
        <v>29</v>
      </c>
      <c r="E354" s="20">
        <v>1</v>
      </c>
      <c r="F354" s="20" t="s">
        <v>775</v>
      </c>
      <c r="G354" s="20" t="s">
        <v>994</v>
      </c>
      <c r="H354" s="5">
        <f t="shared" si="5"/>
        <v>174.91317647058821</v>
      </c>
      <c r="I354" s="21">
        <v>0.20276470588235293</v>
      </c>
      <c r="J354" s="21">
        <v>0.37802941176470589</v>
      </c>
      <c r="K354" s="21">
        <v>3.5426764705882348</v>
      </c>
      <c r="L354" s="6">
        <v>0.15841176470588234</v>
      </c>
      <c r="M354" s="21">
        <v>0.20220588235294118</v>
      </c>
      <c r="N354" s="21">
        <v>41.921117647058821</v>
      </c>
      <c r="O354" s="21">
        <v>4.1176470588235285E-4</v>
      </c>
      <c r="P354" s="21">
        <v>0</v>
      </c>
      <c r="Q354" s="21">
        <v>8.9324117647058809</v>
      </c>
      <c r="R354" s="21">
        <v>0.23661764705882349</v>
      </c>
      <c r="S354" s="21">
        <v>9.2138823529411749</v>
      </c>
      <c r="T354" s="21">
        <v>0</v>
      </c>
      <c r="U354" s="21">
        <v>0</v>
      </c>
      <c r="V354" s="21">
        <v>51.792176470588231</v>
      </c>
      <c r="W354" s="21">
        <v>3.4194999999999998</v>
      </c>
      <c r="X354" s="21">
        <v>49.762294117647059</v>
      </c>
      <c r="Y354" s="21">
        <v>0.14682352941176469</v>
      </c>
      <c r="Z354" s="21">
        <v>2.5719705882352937</v>
      </c>
      <c r="AA354" s="21">
        <v>0.22138235294117647</v>
      </c>
      <c r="AB354" s="21">
        <v>1.0530588235294118</v>
      </c>
      <c r="AC354" s="21">
        <v>0.69379411764705878</v>
      </c>
      <c r="AD354" s="21">
        <v>7.8235294117647049E-3</v>
      </c>
      <c r="AE354" s="21">
        <v>5.45E-2</v>
      </c>
      <c r="AF354" s="21">
        <v>2.0941176470588234E-2</v>
      </c>
      <c r="AG354" s="21">
        <v>0.10199999999999999</v>
      </c>
      <c r="AH354" s="21">
        <v>9.6058823529411766E-2</v>
      </c>
      <c r="AI354" s="21">
        <v>2.3823529411764702E-2</v>
      </c>
      <c r="AJ354" s="21">
        <v>0.1585</v>
      </c>
    </row>
    <row r="355" spans="1:36" x14ac:dyDescent="0.25">
      <c r="A355" s="17" t="s">
        <v>780</v>
      </c>
      <c r="B355" s="18" t="s">
        <v>781</v>
      </c>
      <c r="C355" s="19" t="s">
        <v>20</v>
      </c>
      <c r="D355" s="20" t="s">
        <v>31</v>
      </c>
      <c r="E355" s="20">
        <v>1</v>
      </c>
      <c r="F355" s="20" t="s">
        <v>775</v>
      </c>
      <c r="G355" s="20" t="s">
        <v>994</v>
      </c>
      <c r="H355" s="5">
        <f t="shared" si="5"/>
        <v>156.30252941176465</v>
      </c>
      <c r="I355" s="21">
        <v>0.15994117647058823</v>
      </c>
      <c r="J355" s="21">
        <v>0.37132352941176466</v>
      </c>
      <c r="K355" s="21">
        <v>3.3144117647058819</v>
      </c>
      <c r="L355" s="6">
        <v>0.18258823529411763</v>
      </c>
      <c r="M355" s="21">
        <v>0.18405882352941175</v>
      </c>
      <c r="N355" s="21">
        <v>36.868705882352941</v>
      </c>
      <c r="O355" s="21">
        <v>0</v>
      </c>
      <c r="P355" s="21">
        <v>0</v>
      </c>
      <c r="Q355" s="21">
        <v>9.2836470588235276</v>
      </c>
      <c r="R355" s="21">
        <v>0.20494117647058824</v>
      </c>
      <c r="S355" s="21">
        <v>6.9810294117647045</v>
      </c>
      <c r="T355" s="21">
        <v>0</v>
      </c>
      <c r="U355" s="21">
        <v>0</v>
      </c>
      <c r="V355" s="21">
        <v>50.463323529411767</v>
      </c>
      <c r="W355" s="21">
        <v>3.1142058823529406</v>
      </c>
      <c r="X355" s="21">
        <v>41.478235294117646</v>
      </c>
      <c r="Y355" s="21">
        <v>0.1113235294117647</v>
      </c>
      <c r="Z355" s="21">
        <v>1.8327647058823529</v>
      </c>
      <c r="AA355" s="21">
        <v>0.13255882352941176</v>
      </c>
      <c r="AB355" s="21">
        <v>0.62502941176470583</v>
      </c>
      <c r="AC355" s="21">
        <v>0.58329411764705874</v>
      </c>
      <c r="AD355" s="21">
        <v>4.8235294117647057E-3</v>
      </c>
      <c r="AE355" s="21">
        <v>3.8941176470588229E-2</v>
      </c>
      <c r="AF355" s="21">
        <v>9.8235294117647049E-3</v>
      </c>
      <c r="AG355" s="21">
        <v>8.8147058823529412E-2</v>
      </c>
      <c r="AH355" s="21">
        <v>9.1941176470588235E-2</v>
      </c>
      <c r="AI355" s="21">
        <v>2.6941176470588232E-2</v>
      </c>
      <c r="AJ355" s="21">
        <v>0.15052941176470588</v>
      </c>
    </row>
    <row r="356" spans="1:36" x14ac:dyDescent="0.25">
      <c r="A356" s="17" t="s">
        <v>782</v>
      </c>
      <c r="B356" s="18" t="s">
        <v>783</v>
      </c>
      <c r="C356" s="19" t="s">
        <v>20</v>
      </c>
      <c r="D356" s="20" t="s">
        <v>23</v>
      </c>
      <c r="E356" s="20">
        <v>1</v>
      </c>
      <c r="F356" s="20" t="s">
        <v>775</v>
      </c>
      <c r="G356" s="20" t="s">
        <v>994</v>
      </c>
      <c r="H356" s="5">
        <f t="shared" si="5"/>
        <v>266.74288235294114</v>
      </c>
      <c r="I356" s="21">
        <v>0.21158823529411763</v>
      </c>
      <c r="J356" s="21">
        <v>0.44635294117647056</v>
      </c>
      <c r="K356" s="21">
        <v>4.9656470588235289</v>
      </c>
      <c r="L356" s="6">
        <v>0.21897058823529411</v>
      </c>
      <c r="M356" s="21">
        <v>0.28199999999999997</v>
      </c>
      <c r="N356" s="21">
        <v>61.622411764705873</v>
      </c>
      <c r="O356" s="21">
        <v>3.529411764705882E-4</v>
      </c>
      <c r="P356" s="21">
        <v>0</v>
      </c>
      <c r="Q356" s="21">
        <v>11.854441176470585</v>
      </c>
      <c r="R356" s="21">
        <v>0.37535294117647061</v>
      </c>
      <c r="S356" s="21">
        <v>14.31585294117647</v>
      </c>
      <c r="T356" s="21">
        <v>0</v>
      </c>
      <c r="U356" s="21">
        <v>0</v>
      </c>
      <c r="V356" s="21">
        <v>76.085411764705867</v>
      </c>
      <c r="W356" s="21">
        <v>4.9855294117647055</v>
      </c>
      <c r="X356" s="21">
        <v>82.086411764705872</v>
      </c>
      <c r="Y356" s="21">
        <v>0.22055882352941175</v>
      </c>
      <c r="Z356" s="21">
        <v>5.0521764705882353</v>
      </c>
      <c r="AA356" s="21">
        <v>0.38102941176470584</v>
      </c>
      <c r="AB356" s="21">
        <v>1.8834117647058823</v>
      </c>
      <c r="AC356" s="21">
        <v>1.0783529411764705</v>
      </c>
      <c r="AD356" s="21">
        <v>1.752941176470588E-2</v>
      </c>
      <c r="AE356" s="21">
        <v>8.9705882352941163E-2</v>
      </c>
      <c r="AF356" s="21">
        <v>3.3117647058823522E-2</v>
      </c>
      <c r="AG356" s="21">
        <v>0.10811764705882353</v>
      </c>
      <c r="AH356" s="21">
        <v>0.12879411764705881</v>
      </c>
      <c r="AI356" s="21">
        <v>4.6147058823529402E-2</v>
      </c>
      <c r="AJ356" s="21">
        <v>0.2536176470588235</v>
      </c>
    </row>
    <row r="357" spans="1:36" x14ac:dyDescent="0.25">
      <c r="A357" s="17" t="s">
        <v>784</v>
      </c>
      <c r="B357" s="18" t="s">
        <v>785</v>
      </c>
      <c r="C357" s="19" t="s">
        <v>20</v>
      </c>
      <c r="D357" s="20" t="s">
        <v>25</v>
      </c>
      <c r="E357" s="20">
        <v>1</v>
      </c>
      <c r="F357" s="20" t="s">
        <v>775</v>
      </c>
      <c r="G357" s="20" t="s">
        <v>994</v>
      </c>
      <c r="H357" s="5">
        <f t="shared" si="5"/>
        <v>299.33241176470585</v>
      </c>
      <c r="I357" s="21">
        <v>0.20088235294117646</v>
      </c>
      <c r="J357" s="21">
        <v>0.47829411764705876</v>
      </c>
      <c r="K357" s="21">
        <v>5.4444999999999997</v>
      </c>
      <c r="L357" s="6">
        <v>0.28070588235294114</v>
      </c>
      <c r="M357" s="21">
        <v>0.40223529411764702</v>
      </c>
      <c r="N357" s="21">
        <v>65.862441176470583</v>
      </c>
      <c r="O357" s="21">
        <v>3.2352941176470585E-4</v>
      </c>
      <c r="P357" s="21">
        <v>0</v>
      </c>
      <c r="Q357" s="21">
        <v>16.891999999999999</v>
      </c>
      <c r="R357" s="21">
        <v>0.47399999999999998</v>
      </c>
      <c r="S357" s="21">
        <v>10.617617647058822</v>
      </c>
      <c r="T357" s="21">
        <v>0</v>
      </c>
      <c r="U357" s="21">
        <v>0</v>
      </c>
      <c r="V357" s="21">
        <v>83.097029411764694</v>
      </c>
      <c r="W357" s="21">
        <v>6.2682352941176473</v>
      </c>
      <c r="X357" s="21">
        <v>98.384529411764703</v>
      </c>
      <c r="Y357" s="21">
        <v>0.31720588235294117</v>
      </c>
      <c r="Z357" s="21">
        <v>6.0564117647058815</v>
      </c>
      <c r="AA357" s="21">
        <v>0.33558823529411758</v>
      </c>
      <c r="AB357" s="21">
        <v>1.891470588235294</v>
      </c>
      <c r="AC357" s="21">
        <v>1.4178529411764704</v>
      </c>
      <c r="AD357" s="21">
        <v>3.1470588235294111E-2</v>
      </c>
      <c r="AE357" s="21">
        <v>8.7794117647058814E-2</v>
      </c>
      <c r="AF357" s="21">
        <v>5.544117647058823E-2</v>
      </c>
      <c r="AG357" s="21">
        <v>0.1328235294117647</v>
      </c>
      <c r="AH357" s="21">
        <v>0.18685294117647058</v>
      </c>
      <c r="AI357" s="21">
        <v>4.502941176470588E-2</v>
      </c>
      <c r="AJ357" s="21">
        <v>0.37167647058823527</v>
      </c>
    </row>
    <row r="358" spans="1:36" x14ac:dyDescent="0.25">
      <c r="A358" s="17" t="s">
        <v>786</v>
      </c>
      <c r="B358" s="18" t="s">
        <v>787</v>
      </c>
      <c r="C358" s="19" t="s">
        <v>20</v>
      </c>
      <c r="D358" s="20" t="s">
        <v>37</v>
      </c>
      <c r="E358" s="20">
        <v>2</v>
      </c>
      <c r="F358" s="20" t="s">
        <v>775</v>
      </c>
      <c r="G358" s="20" t="s">
        <v>994</v>
      </c>
      <c r="H358" s="5">
        <f t="shared" si="5"/>
        <v>220.02588235294115</v>
      </c>
      <c r="I358" s="21">
        <v>0.14767647058823527</v>
      </c>
      <c r="J358" s="21">
        <v>0.43338235294117644</v>
      </c>
      <c r="K358" s="21">
        <v>4.3861764705882349</v>
      </c>
      <c r="L358" s="6">
        <v>0.23255882352941176</v>
      </c>
      <c r="M358" s="21">
        <v>0.2455</v>
      </c>
      <c r="N358" s="21">
        <v>50.436823529411761</v>
      </c>
      <c r="O358" s="21">
        <v>0</v>
      </c>
      <c r="P358" s="21">
        <v>0</v>
      </c>
      <c r="Q358" s="21">
        <v>11.882147058823529</v>
      </c>
      <c r="R358" s="21">
        <v>0.30026470588235293</v>
      </c>
      <c r="S358" s="21">
        <v>11.502029411764706</v>
      </c>
      <c r="T358" s="21">
        <v>0</v>
      </c>
      <c r="U358" s="21">
        <v>0</v>
      </c>
      <c r="V358" s="21">
        <v>69.604882352941175</v>
      </c>
      <c r="W358" s="21">
        <v>4.5424117647058821</v>
      </c>
      <c r="X358" s="21">
        <v>60.265588235294118</v>
      </c>
      <c r="Y358" s="21">
        <v>0.16373529411764703</v>
      </c>
      <c r="Z358" s="21">
        <v>3.2114411764705881</v>
      </c>
      <c r="AA358" s="21">
        <v>0.21038235294117644</v>
      </c>
      <c r="AB358" s="21">
        <v>0.99061764705882349</v>
      </c>
      <c r="AC358" s="21">
        <v>0.91541176470588237</v>
      </c>
      <c r="AD358" s="21">
        <v>4.0294117647058821E-3</v>
      </c>
      <c r="AE358" s="21">
        <v>6.2852941176470584E-2</v>
      </c>
      <c r="AF358" s="21">
        <v>2.1852941176470585E-2</v>
      </c>
      <c r="AG358" s="21">
        <v>9.6470588235294114E-2</v>
      </c>
      <c r="AH358" s="21">
        <v>0.11523529411764705</v>
      </c>
      <c r="AI358" s="21">
        <v>3.2676470588235293E-2</v>
      </c>
      <c r="AJ358" s="21">
        <v>0.22173529411764703</v>
      </c>
    </row>
    <row r="359" spans="1:36" x14ac:dyDescent="0.25">
      <c r="A359" s="17" t="s">
        <v>788</v>
      </c>
      <c r="B359" s="18" t="s">
        <v>789</v>
      </c>
      <c r="C359" s="19" t="s">
        <v>20</v>
      </c>
      <c r="D359" s="20" t="s">
        <v>39</v>
      </c>
      <c r="E359" s="20">
        <v>2</v>
      </c>
      <c r="F359" s="20" t="s">
        <v>775</v>
      </c>
      <c r="G359" s="20" t="s">
        <v>994</v>
      </c>
      <c r="H359" s="5">
        <f t="shared" si="5"/>
        <v>227.08749999999995</v>
      </c>
      <c r="I359" s="21">
        <v>0.21841176470588236</v>
      </c>
      <c r="J359" s="21">
        <v>0.44811764705882345</v>
      </c>
      <c r="K359" s="21">
        <v>4.5220882352941167</v>
      </c>
      <c r="L359" s="6">
        <v>0.23947058823529413</v>
      </c>
      <c r="M359" s="21">
        <v>0.20491176470588232</v>
      </c>
      <c r="N359" s="21">
        <v>51.621235294117646</v>
      </c>
      <c r="O359" s="21">
        <v>7.9411764705882351E-4</v>
      </c>
      <c r="P359" s="21">
        <v>0</v>
      </c>
      <c r="Q359" s="21">
        <v>12.417852941176472</v>
      </c>
      <c r="R359" s="21">
        <v>0.27214705882352941</v>
      </c>
      <c r="S359" s="21">
        <v>13.172323529411763</v>
      </c>
      <c r="T359" s="21">
        <v>0</v>
      </c>
      <c r="U359" s="21">
        <v>0</v>
      </c>
      <c r="V359" s="21">
        <v>73.686294117647051</v>
      </c>
      <c r="W359" s="21">
        <v>4.673970588235294</v>
      </c>
      <c r="X359" s="21">
        <v>59.493441176470583</v>
      </c>
      <c r="Y359" s="21">
        <v>0.1769705882352941</v>
      </c>
      <c r="Z359" s="21">
        <v>2.8557058823529409</v>
      </c>
      <c r="AA359" s="21">
        <v>0.3267647058823529</v>
      </c>
      <c r="AB359" s="21">
        <v>1.4031764705882352</v>
      </c>
      <c r="AC359" s="21">
        <v>0.8000588235294116</v>
      </c>
      <c r="AD359" s="21">
        <v>1.4352941176470586E-2</v>
      </c>
      <c r="AE359" s="21">
        <v>7.4147058823529399E-2</v>
      </c>
      <c r="AF359" s="21">
        <v>2.5470588235294113E-2</v>
      </c>
      <c r="AG359" s="21">
        <v>0.12270588235294116</v>
      </c>
      <c r="AH359" s="21">
        <v>0.10544117647058823</v>
      </c>
      <c r="AI359" s="21">
        <v>3.5264705882352941E-2</v>
      </c>
      <c r="AJ359" s="21">
        <v>0.17638235294117646</v>
      </c>
    </row>
    <row r="360" spans="1:36" x14ac:dyDescent="0.25">
      <c r="A360" s="17" t="s">
        <v>790</v>
      </c>
      <c r="B360" s="18" t="s">
        <v>791</v>
      </c>
      <c r="C360" s="19" t="s">
        <v>20</v>
      </c>
      <c r="D360" s="20" t="s">
        <v>41</v>
      </c>
      <c r="E360" s="20">
        <v>2</v>
      </c>
      <c r="F360" s="20" t="s">
        <v>775</v>
      </c>
      <c r="G360" s="20" t="s">
        <v>994</v>
      </c>
      <c r="H360" s="5">
        <f t="shared" si="5"/>
        <v>109.95644117647055</v>
      </c>
      <c r="I360" s="21">
        <v>0.16876470588235293</v>
      </c>
      <c r="J360" s="21">
        <v>0.32899999999999996</v>
      </c>
      <c r="K360" s="21">
        <v>2.4522058823529411</v>
      </c>
      <c r="L360" s="6">
        <v>0.15614705882352939</v>
      </c>
      <c r="M360" s="21">
        <v>0.13038235294117648</v>
      </c>
      <c r="N360" s="21">
        <v>28.307558823529412</v>
      </c>
      <c r="O360" s="21">
        <v>0</v>
      </c>
      <c r="P360" s="21">
        <v>1.5117647058823527E-2</v>
      </c>
      <c r="Q360" s="21">
        <v>6.3680882352941177</v>
      </c>
      <c r="R360" s="21">
        <v>0.14776470588235294</v>
      </c>
      <c r="S360" s="21">
        <v>6.4350882352941179</v>
      </c>
      <c r="T360" s="21">
        <v>0</v>
      </c>
      <c r="U360" s="21">
        <v>0</v>
      </c>
      <c r="V360" s="21">
        <v>34.429647058823527</v>
      </c>
      <c r="W360" s="21">
        <v>2.1165882352941172</v>
      </c>
      <c r="X360" s="21">
        <v>26.163088235294115</v>
      </c>
      <c r="Y360" s="21">
        <v>9.8205882352941171E-2</v>
      </c>
      <c r="Z360" s="21">
        <v>1.3647647058823529</v>
      </c>
      <c r="AA360" s="21">
        <v>0.10058823529411764</v>
      </c>
      <c r="AB360" s="21">
        <v>0.34708823529411764</v>
      </c>
      <c r="AC360" s="21">
        <v>0.50008823529411761</v>
      </c>
      <c r="AD360" s="21">
        <v>5.8823529411764701E-4</v>
      </c>
      <c r="AE360" s="21">
        <v>3.2264705882352938E-2</v>
      </c>
      <c r="AF360" s="21">
        <v>1.3117647058823529E-2</v>
      </c>
      <c r="AG360" s="21">
        <v>6.9323529411764701E-2</v>
      </c>
      <c r="AH360" s="21">
        <v>7.4294117647058816E-2</v>
      </c>
      <c r="AI360" s="21">
        <v>2.2352941176470586E-2</v>
      </c>
      <c r="AJ360" s="21">
        <v>0.1143235294117647</v>
      </c>
    </row>
    <row r="361" spans="1:36" x14ac:dyDescent="0.25">
      <c r="A361" s="17" t="s">
        <v>792</v>
      </c>
      <c r="B361" s="18" t="s">
        <v>793</v>
      </c>
      <c r="C361" s="19" t="s">
        <v>20</v>
      </c>
      <c r="D361" s="20" t="s">
        <v>33</v>
      </c>
      <c r="E361" s="20">
        <v>2</v>
      </c>
      <c r="F361" s="20" t="s">
        <v>775</v>
      </c>
      <c r="G361" s="20" t="s">
        <v>994</v>
      </c>
      <c r="H361" s="5">
        <f t="shared" si="5"/>
        <v>194.48361764705879</v>
      </c>
      <c r="I361" s="21">
        <v>0.11847058823529412</v>
      </c>
      <c r="J361" s="21">
        <v>0.33776470588235291</v>
      </c>
      <c r="K361" s="21">
        <v>3.7694411764705875</v>
      </c>
      <c r="L361" s="6">
        <v>0.18667647058823528</v>
      </c>
      <c r="M361" s="21">
        <v>0.24326470588235294</v>
      </c>
      <c r="N361" s="21">
        <v>43.402441176470589</v>
      </c>
      <c r="O361" s="21">
        <v>0</v>
      </c>
      <c r="P361" s="21">
        <v>7.8235294117647049E-3</v>
      </c>
      <c r="Q361" s="21">
        <v>9.9723235294117636</v>
      </c>
      <c r="R361" s="21">
        <v>0.29905882352941177</v>
      </c>
      <c r="S361" s="21">
        <v>7.793058823529412</v>
      </c>
      <c r="T361" s="21">
        <v>0</v>
      </c>
      <c r="U361" s="21">
        <v>0</v>
      </c>
      <c r="V361" s="21">
        <v>55.173852941176463</v>
      </c>
      <c r="W361" s="21">
        <v>3.8054117647058825</v>
      </c>
      <c r="X361" s="21">
        <v>62.67797058823529</v>
      </c>
      <c r="Y361" s="21">
        <v>0.18126470588235291</v>
      </c>
      <c r="Z361" s="21">
        <v>3.7880588235294117</v>
      </c>
      <c r="AA361" s="21">
        <v>0.22026470588235292</v>
      </c>
      <c r="AB361" s="21">
        <v>1.1141176470588234</v>
      </c>
      <c r="AC361" s="21">
        <v>0.83838235294117647</v>
      </c>
      <c r="AD361" s="21">
        <v>1.7147058823529411E-2</v>
      </c>
      <c r="AE361" s="21">
        <v>5.6205882352941168E-2</v>
      </c>
      <c r="AF361" s="21">
        <v>3.2088235294117647E-2</v>
      </c>
      <c r="AG361" s="21">
        <v>0.11482352941176469</v>
      </c>
      <c r="AH361" s="21">
        <v>0.11055882352941175</v>
      </c>
      <c r="AI361" s="21">
        <v>2.8647058823529411E-2</v>
      </c>
      <c r="AJ361" s="21">
        <v>0.19449999999999998</v>
      </c>
    </row>
    <row r="362" spans="1:36" x14ac:dyDescent="0.25">
      <c r="A362" s="17" t="s">
        <v>794</v>
      </c>
      <c r="B362" s="18" t="s">
        <v>795</v>
      </c>
      <c r="C362" s="19" t="s">
        <v>20</v>
      </c>
      <c r="D362" s="20" t="s">
        <v>35</v>
      </c>
      <c r="E362" s="20">
        <v>2</v>
      </c>
      <c r="F362" s="20" t="s">
        <v>775</v>
      </c>
      <c r="G362" s="20" t="s">
        <v>994</v>
      </c>
      <c r="H362" s="5">
        <f t="shared" si="5"/>
        <v>314.03652941176477</v>
      </c>
      <c r="I362" s="21">
        <v>0.27882352941176469</v>
      </c>
      <c r="J362" s="21">
        <v>0.53614705882352942</v>
      </c>
      <c r="K362" s="21">
        <v>6.3371764705882354</v>
      </c>
      <c r="L362" s="6">
        <v>0.27964705882352936</v>
      </c>
      <c r="M362" s="21">
        <v>0.29770588235294115</v>
      </c>
      <c r="N362" s="21">
        <v>74.149411764705874</v>
      </c>
      <c r="O362" s="21">
        <v>3.2176470588235292E-2</v>
      </c>
      <c r="P362" s="21">
        <v>9.8941176470588241E-2</v>
      </c>
      <c r="Q362" s="21">
        <v>17.421647058823527</v>
      </c>
      <c r="R362" s="21">
        <v>0.44099999999999995</v>
      </c>
      <c r="S362" s="21">
        <v>16.803970588235295</v>
      </c>
      <c r="T362" s="21">
        <v>0</v>
      </c>
      <c r="U362" s="21">
        <v>0</v>
      </c>
      <c r="V362" s="21">
        <v>92.901529411764699</v>
      </c>
      <c r="W362" s="21">
        <v>6.789735294117647</v>
      </c>
      <c r="X362" s="21">
        <v>87.847999999999999</v>
      </c>
      <c r="Y362" s="21">
        <v>0.26473529411764707</v>
      </c>
      <c r="Z362" s="21">
        <v>5.0541176470588232</v>
      </c>
      <c r="AA362" s="21">
        <v>0.36482352941176466</v>
      </c>
      <c r="AB362" s="21">
        <v>1.6873823529411764</v>
      </c>
      <c r="AC362" s="21">
        <v>1.4673529411764705</v>
      </c>
      <c r="AD362" s="21">
        <v>1.9029411764705881E-2</v>
      </c>
      <c r="AE362" s="21">
        <v>8.2764705882352935E-2</v>
      </c>
      <c r="AF362" s="21">
        <v>3.0705882352941173E-2</v>
      </c>
      <c r="AG362" s="21">
        <v>0.12473529411764706</v>
      </c>
      <c r="AH362" s="21">
        <v>0.27423529411764702</v>
      </c>
      <c r="AI362" s="21">
        <v>3.8588235294117645E-2</v>
      </c>
      <c r="AJ362" s="21">
        <v>0.41214705882352937</v>
      </c>
    </row>
    <row r="363" spans="1:36" x14ac:dyDescent="0.25">
      <c r="A363" s="17" t="s">
        <v>796</v>
      </c>
      <c r="B363" s="18" t="s">
        <v>797</v>
      </c>
      <c r="C363" s="19" t="s">
        <v>20</v>
      </c>
      <c r="D363" s="20" t="s">
        <v>47</v>
      </c>
      <c r="E363" s="20">
        <v>6</v>
      </c>
      <c r="F363" s="20" t="s">
        <v>775</v>
      </c>
      <c r="G363" s="20" t="s">
        <v>994</v>
      </c>
      <c r="H363" s="5">
        <f t="shared" si="5"/>
        <v>300.83341176470589</v>
      </c>
      <c r="I363" s="21">
        <v>0.20270588235294115</v>
      </c>
      <c r="J363" s="21">
        <v>0.56038235294117644</v>
      </c>
      <c r="K363" s="21">
        <v>6.4367647058823518</v>
      </c>
      <c r="L363" s="6">
        <v>0.32649999999999996</v>
      </c>
      <c r="M363" s="21">
        <v>0.3136176470588235</v>
      </c>
      <c r="N363" s="21">
        <v>70.575441176470591</v>
      </c>
      <c r="O363" s="21">
        <v>4.5705882352941173E-2</v>
      </c>
      <c r="P363" s="21">
        <v>7.8735294117647042E-2</v>
      </c>
      <c r="Q363" s="21">
        <v>16.378588235294117</v>
      </c>
      <c r="R363" s="21">
        <v>0.38897058823529412</v>
      </c>
      <c r="S363" s="21">
        <v>18.218941176470587</v>
      </c>
      <c r="T363" s="21">
        <v>0</v>
      </c>
      <c r="U363" s="21">
        <v>0</v>
      </c>
      <c r="V363" s="21">
        <v>99.656205882352936</v>
      </c>
      <c r="W363" s="21">
        <v>6.6179999999999994</v>
      </c>
      <c r="X363" s="21">
        <v>73.213970588235284</v>
      </c>
      <c r="Y363" s="21">
        <v>0.25008823529411761</v>
      </c>
      <c r="Z363" s="21">
        <v>3.781147058823529</v>
      </c>
      <c r="AA363" s="21">
        <v>0.29502941176470587</v>
      </c>
      <c r="AB363" s="21">
        <v>1.3151764705882352</v>
      </c>
      <c r="AC363" s="21">
        <v>1.3298529411764706</v>
      </c>
      <c r="AD363" s="21">
        <v>1.9941176470588233E-2</v>
      </c>
      <c r="AE363" s="21">
        <v>8.6264705882352924E-2</v>
      </c>
      <c r="AF363" s="21">
        <v>3.8264705882352944E-2</v>
      </c>
      <c r="AG363" s="21">
        <v>0.12267647058823528</v>
      </c>
      <c r="AH363" s="21">
        <v>0.17970588235294116</v>
      </c>
      <c r="AI363" s="21">
        <v>4.7647058823529403E-2</v>
      </c>
      <c r="AJ363" s="21">
        <v>0.35308823529411765</v>
      </c>
    </row>
    <row r="364" spans="1:36" x14ac:dyDescent="0.25">
      <c r="A364" s="17" t="s">
        <v>798</v>
      </c>
      <c r="B364" s="18" t="s">
        <v>799</v>
      </c>
      <c r="C364" s="19" t="s">
        <v>20</v>
      </c>
      <c r="D364" s="20" t="s">
        <v>49</v>
      </c>
      <c r="E364" s="20">
        <v>6</v>
      </c>
      <c r="F364" s="20" t="s">
        <v>775</v>
      </c>
      <c r="G364" s="20" t="s">
        <v>994</v>
      </c>
      <c r="H364" s="5">
        <f t="shared" si="5"/>
        <v>190.82052941176468</v>
      </c>
      <c r="I364" s="21">
        <v>0.15535294117647058</v>
      </c>
      <c r="J364" s="21">
        <v>0.40364705882352936</v>
      </c>
      <c r="K364" s="21">
        <v>4.1190588235294117</v>
      </c>
      <c r="L364" s="6">
        <v>0.2317647058823529</v>
      </c>
      <c r="M364" s="21">
        <v>0.22270588235294114</v>
      </c>
      <c r="N364" s="21">
        <v>46.196882352941174</v>
      </c>
      <c r="O364" s="21">
        <v>0.1003235294117647</v>
      </c>
      <c r="P364" s="21">
        <v>0.15352941176470589</v>
      </c>
      <c r="Q364" s="21">
        <v>10.683676470588233</v>
      </c>
      <c r="R364" s="21">
        <v>0.25397058823529406</v>
      </c>
      <c r="S364" s="21">
        <v>10.276382352941175</v>
      </c>
      <c r="T364" s="21">
        <v>0</v>
      </c>
      <c r="U364" s="21">
        <v>3.4088235294117641E-2</v>
      </c>
      <c r="V364" s="21">
        <v>62.797117647058812</v>
      </c>
      <c r="W364" s="21">
        <v>3.6348235294117646</v>
      </c>
      <c r="X364" s="21">
        <v>46.716911764705877</v>
      </c>
      <c r="Y364" s="21">
        <v>0.16020588235294117</v>
      </c>
      <c r="Z364" s="21">
        <v>2.3591470588235293</v>
      </c>
      <c r="AA364" s="21">
        <v>0.16529411764705881</v>
      </c>
      <c r="AB364" s="21">
        <v>0.749470588235294</v>
      </c>
      <c r="AC364" s="21">
        <v>0.85502941176470593</v>
      </c>
      <c r="AD364" s="21">
        <v>4.4411764705882349E-3</v>
      </c>
      <c r="AE364" s="21">
        <v>4.7676470588235285E-2</v>
      </c>
      <c r="AF364" s="21">
        <v>2.5911764705882353E-2</v>
      </c>
      <c r="AG364" s="21">
        <v>8.43235294117647E-2</v>
      </c>
      <c r="AH364" s="21">
        <v>0.11349999999999999</v>
      </c>
      <c r="AI364" s="21">
        <v>3.7558823529411763E-2</v>
      </c>
      <c r="AJ364" s="21">
        <v>0.23773529411764704</v>
      </c>
    </row>
    <row r="365" spans="1:36" x14ac:dyDescent="0.25">
      <c r="A365" s="17" t="s">
        <v>800</v>
      </c>
      <c r="B365" s="18" t="s">
        <v>801</v>
      </c>
      <c r="C365" s="19" t="s">
        <v>20</v>
      </c>
      <c r="D365" s="20" t="s">
        <v>45</v>
      </c>
      <c r="E365" s="20">
        <v>6</v>
      </c>
      <c r="F365" s="20" t="s">
        <v>775</v>
      </c>
      <c r="G365" s="20" t="s">
        <v>994</v>
      </c>
      <c r="H365" s="5">
        <f t="shared" si="5"/>
        <v>276.68729411764701</v>
      </c>
      <c r="I365" s="21">
        <v>0.19423529411764703</v>
      </c>
      <c r="J365" s="21">
        <v>0.50364705882352934</v>
      </c>
      <c r="K365" s="21">
        <v>5.9082941176470589</v>
      </c>
      <c r="L365" s="6">
        <v>0.31529411764705884</v>
      </c>
      <c r="M365" s="21">
        <v>0.25344117647058823</v>
      </c>
      <c r="N365" s="21">
        <v>67.127205882352939</v>
      </c>
      <c r="O365" s="21">
        <v>0.10994117647058822</v>
      </c>
      <c r="P365" s="21">
        <v>0.16173529411764703</v>
      </c>
      <c r="Q365" s="21">
        <v>16.235941176470586</v>
      </c>
      <c r="R365" s="21">
        <v>0.32929411764705879</v>
      </c>
      <c r="S365" s="21">
        <v>17.28235294117647</v>
      </c>
      <c r="T365" s="21">
        <v>0</v>
      </c>
      <c r="U365" s="21">
        <v>3.8499999999999993E-2</v>
      </c>
      <c r="V365" s="21">
        <v>93.540588235294109</v>
      </c>
      <c r="W365" s="21">
        <v>5.9714117647058815</v>
      </c>
      <c r="X365" s="21">
        <v>61.849205882352933</v>
      </c>
      <c r="Y365" s="21">
        <v>0.22688235294117645</v>
      </c>
      <c r="Z365" s="21">
        <v>3.2717941176470582</v>
      </c>
      <c r="AA365" s="21">
        <v>0.27435294117647058</v>
      </c>
      <c r="AB365" s="21">
        <v>1.0311470588235294</v>
      </c>
      <c r="AC365" s="21">
        <v>1.2739411764705881</v>
      </c>
      <c r="AD365" s="21">
        <v>9.0294117647058813E-3</v>
      </c>
      <c r="AE365" s="21">
        <v>7.8970588235294112E-2</v>
      </c>
      <c r="AF365" s="21">
        <v>2.6588235294117642E-2</v>
      </c>
      <c r="AG365" s="21">
        <v>0.14358823529411766</v>
      </c>
      <c r="AH365" s="21">
        <v>0.17335294117647057</v>
      </c>
      <c r="AI365" s="21">
        <v>5.3382352941176464E-2</v>
      </c>
      <c r="AJ365" s="21">
        <v>0.30317647058823527</v>
      </c>
    </row>
    <row r="366" spans="1:36" x14ac:dyDescent="0.25">
      <c r="A366" s="17" t="s">
        <v>802</v>
      </c>
      <c r="B366" s="18" t="s">
        <v>803</v>
      </c>
      <c r="C366" s="19" t="s">
        <v>20</v>
      </c>
      <c r="D366" s="20" t="s">
        <v>43</v>
      </c>
      <c r="E366" s="20">
        <v>6</v>
      </c>
      <c r="F366" s="20" t="s">
        <v>775</v>
      </c>
      <c r="G366" s="20" t="s">
        <v>994</v>
      </c>
      <c r="H366" s="5">
        <f t="shared" si="5"/>
        <v>208.92697058823529</v>
      </c>
      <c r="I366" s="21">
        <v>0.15729411764705881</v>
      </c>
      <c r="J366" s="21">
        <v>0.39255882352941174</v>
      </c>
      <c r="K366" s="21">
        <v>3.996647058823529</v>
      </c>
      <c r="L366" s="6">
        <v>0.17541176470588232</v>
      </c>
      <c r="M366" s="21">
        <v>0.23623529411764704</v>
      </c>
      <c r="N366" s="21">
        <v>47.387735294117647</v>
      </c>
      <c r="O366" s="21">
        <v>1.4647058823529411E-2</v>
      </c>
      <c r="P366" s="21">
        <v>5.8176470588235288E-2</v>
      </c>
      <c r="Q366" s="21">
        <v>8.470470588235294</v>
      </c>
      <c r="R366" s="21">
        <v>0.29261764705882348</v>
      </c>
      <c r="S366" s="21">
        <v>11.634264705882352</v>
      </c>
      <c r="T366" s="21">
        <v>0</v>
      </c>
      <c r="U366" s="21">
        <v>0</v>
      </c>
      <c r="V366" s="21">
        <v>61.368558823529412</v>
      </c>
      <c r="W366" s="21">
        <v>3.6592941176470584</v>
      </c>
      <c r="X366" s="21">
        <v>64.044970588235287</v>
      </c>
      <c r="Y366" s="21">
        <v>0.17926470588235291</v>
      </c>
      <c r="Z366" s="21">
        <v>3.5879999999999992</v>
      </c>
      <c r="AA366" s="21">
        <v>0.3025882352941176</v>
      </c>
      <c r="AB366" s="21">
        <v>1.5055000000000001</v>
      </c>
      <c r="AC366" s="21">
        <v>0.86164705882352932</v>
      </c>
      <c r="AD366" s="21">
        <v>1.002941176470588E-2</v>
      </c>
      <c r="AE366" s="21">
        <v>7.2499999999999995E-2</v>
      </c>
      <c r="AF366" s="21">
        <v>2.1852941176470585E-2</v>
      </c>
      <c r="AG366" s="21">
        <v>0.1454705882352941</v>
      </c>
      <c r="AH366" s="21">
        <v>0.10914705882352939</v>
      </c>
      <c r="AI366" s="21">
        <v>3.7852941176470582E-2</v>
      </c>
      <c r="AJ366" s="21">
        <v>0.20423529411764704</v>
      </c>
    </row>
    <row r="367" spans="1:36" x14ac:dyDescent="0.25">
      <c r="A367" s="17" t="s">
        <v>804</v>
      </c>
      <c r="B367" s="18" t="s">
        <v>805</v>
      </c>
      <c r="C367" s="19" t="s">
        <v>146</v>
      </c>
      <c r="D367" s="20" t="s">
        <v>141</v>
      </c>
      <c r="E367" s="20">
        <v>0</v>
      </c>
      <c r="F367" s="20" t="s">
        <v>713</v>
      </c>
      <c r="G367" s="20" t="s">
        <v>994</v>
      </c>
      <c r="H367" s="5">
        <f t="shared" si="5"/>
        <v>298.5349705882353</v>
      </c>
      <c r="I367" s="21">
        <v>0.21035294117647058</v>
      </c>
      <c r="J367" s="21">
        <v>0.45805882352941169</v>
      </c>
      <c r="K367" s="21">
        <v>4.9405294117647056</v>
      </c>
      <c r="L367" s="6">
        <v>0.25673529411764706</v>
      </c>
      <c r="M367" s="21">
        <v>0.39461764705882352</v>
      </c>
      <c r="N367" s="21">
        <v>67.136352941176469</v>
      </c>
      <c r="O367" s="21">
        <v>0</v>
      </c>
      <c r="P367" s="21">
        <v>0</v>
      </c>
      <c r="Q367" s="21">
        <v>15.891882352941176</v>
      </c>
      <c r="R367" s="21">
        <v>0.52461764705882352</v>
      </c>
      <c r="S367" s="21">
        <v>14.576382352941174</v>
      </c>
      <c r="T367" s="21">
        <v>0</v>
      </c>
      <c r="U367" s="21">
        <v>0</v>
      </c>
      <c r="V367" s="21">
        <v>95.538588235294114</v>
      </c>
      <c r="W367" s="21">
        <v>7.7792058823529402</v>
      </c>
      <c r="X367" s="21">
        <v>82.816705882352935</v>
      </c>
      <c r="Y367" s="21">
        <v>0.23888235294117646</v>
      </c>
      <c r="Z367" s="21">
        <v>4.3850882352941172</v>
      </c>
      <c r="AA367" s="21">
        <v>0.24626470588235291</v>
      </c>
      <c r="AB367" s="21">
        <v>1.5234999999999996</v>
      </c>
      <c r="AC367" s="21">
        <v>1.0012058823529411</v>
      </c>
      <c r="AD367" s="21">
        <v>2.4E-2</v>
      </c>
      <c r="AE367" s="21">
        <v>6.2529411764705875E-2</v>
      </c>
      <c r="AF367" s="21">
        <v>3.667647058823529E-2</v>
      </c>
      <c r="AG367" s="21">
        <v>8.6499999999999994E-2</v>
      </c>
      <c r="AH367" s="21">
        <v>0.11135294117647057</v>
      </c>
      <c r="AI367" s="21">
        <v>5.3058823529411762E-2</v>
      </c>
      <c r="AJ367" s="21">
        <v>0.24188235294117644</v>
      </c>
    </row>
    <row r="368" spans="1:36" x14ac:dyDescent="0.25">
      <c r="A368" s="17" t="s">
        <v>806</v>
      </c>
      <c r="B368" s="18" t="s">
        <v>807</v>
      </c>
      <c r="C368" s="19" t="s">
        <v>146</v>
      </c>
      <c r="D368" s="20" t="s">
        <v>143</v>
      </c>
      <c r="E368" s="20">
        <v>1</v>
      </c>
      <c r="F368" s="20" t="s">
        <v>713</v>
      </c>
      <c r="G368" s="20" t="s">
        <v>994</v>
      </c>
      <c r="H368" s="5">
        <f t="shared" si="5"/>
        <v>697.23594117647065</v>
      </c>
      <c r="I368" s="21">
        <v>0.22749999999999998</v>
      </c>
      <c r="J368" s="21">
        <v>0.67188235294117638</v>
      </c>
      <c r="K368" s="21">
        <v>10.514352941176469</v>
      </c>
      <c r="L368" s="6">
        <v>0.74526470588235294</v>
      </c>
      <c r="M368" s="21">
        <v>1.2934411764705882</v>
      </c>
      <c r="N368" s="21">
        <v>143.34644117647056</v>
      </c>
      <c r="O368" s="21">
        <v>0</v>
      </c>
      <c r="P368" s="21">
        <v>7.0382352941176465E-2</v>
      </c>
      <c r="Q368" s="21">
        <v>52.320117647058822</v>
      </c>
      <c r="R368" s="21">
        <v>1.3267647058823528</v>
      </c>
      <c r="S368" s="21">
        <v>18.829205882352941</v>
      </c>
      <c r="T368" s="21">
        <v>0</v>
      </c>
      <c r="U368" s="21">
        <v>0</v>
      </c>
      <c r="V368" s="21">
        <v>206.94664705882349</v>
      </c>
      <c r="W368" s="21">
        <v>20.076235294117645</v>
      </c>
      <c r="X368" s="21">
        <v>214.20111764705879</v>
      </c>
      <c r="Y368" s="21">
        <v>1.0840294117647058</v>
      </c>
      <c r="Z368" s="21">
        <v>16.62779411764706</v>
      </c>
      <c r="AA368" s="21">
        <v>0.45141176470588235</v>
      </c>
      <c r="AB368" s="21">
        <v>3.3016764705882351</v>
      </c>
      <c r="AC368" s="21">
        <v>3.3388529411764707</v>
      </c>
      <c r="AD368" s="21">
        <v>0.10823529411764705</v>
      </c>
      <c r="AE368" s="21">
        <v>0.10291176470588234</v>
      </c>
      <c r="AF368" s="21">
        <v>0.2914411764705882</v>
      </c>
      <c r="AG368" s="21">
        <v>0.15167647058823527</v>
      </c>
      <c r="AH368" s="21">
        <v>0.22482352941176467</v>
      </c>
      <c r="AI368" s="21">
        <v>4.7411764705882348E-2</v>
      </c>
      <c r="AJ368" s="21">
        <v>0.93632352941176467</v>
      </c>
    </row>
    <row r="369" spans="1:36" x14ac:dyDescent="0.25">
      <c r="A369" s="17" t="s">
        <v>808</v>
      </c>
      <c r="B369" s="18" t="s">
        <v>809</v>
      </c>
      <c r="C369" s="19" t="s">
        <v>146</v>
      </c>
      <c r="D369" s="20" t="s">
        <v>145</v>
      </c>
      <c r="E369" s="20">
        <v>1</v>
      </c>
      <c r="F369" s="20" t="s">
        <v>713</v>
      </c>
      <c r="G369" s="20" t="s">
        <v>994</v>
      </c>
      <c r="H369" s="5">
        <f t="shared" si="5"/>
        <v>340.92829411764706</v>
      </c>
      <c r="I369" s="21">
        <v>0.2223235294117647</v>
      </c>
      <c r="J369" s="21">
        <v>0.50549999999999995</v>
      </c>
      <c r="K369" s="21">
        <v>6.282058823529411</v>
      </c>
      <c r="L369" s="6">
        <v>0.37620588235294111</v>
      </c>
      <c r="M369" s="21">
        <v>0.38582352941176468</v>
      </c>
      <c r="N369" s="21">
        <v>76.384499999999989</v>
      </c>
      <c r="O369" s="21">
        <v>0</v>
      </c>
      <c r="P369" s="21">
        <v>0</v>
      </c>
      <c r="Q369" s="21">
        <v>20.887882352941176</v>
      </c>
      <c r="R369" s="21">
        <v>0.53538235294117642</v>
      </c>
      <c r="S369" s="21">
        <v>17.570499999999996</v>
      </c>
      <c r="T369" s="21">
        <v>0</v>
      </c>
      <c r="U369" s="21">
        <v>0</v>
      </c>
      <c r="V369" s="21">
        <v>112.33108823529412</v>
      </c>
      <c r="W369" s="21">
        <v>8.8170882352941167</v>
      </c>
      <c r="X369" s="21">
        <v>87.276735294117643</v>
      </c>
      <c r="Y369" s="21">
        <v>0.30914705882352939</v>
      </c>
      <c r="Z369" s="21">
        <v>5.1809705882352937</v>
      </c>
      <c r="AA369" s="21">
        <v>0.24217647058823527</v>
      </c>
      <c r="AB369" s="21">
        <v>1.5231470588235294</v>
      </c>
      <c r="AC369" s="21">
        <v>1.3589117647058822</v>
      </c>
      <c r="AD369" s="21">
        <v>2.5294117647058821E-2</v>
      </c>
      <c r="AE369" s="21">
        <v>5.6117647058823522E-2</v>
      </c>
      <c r="AF369" s="21">
        <v>5.0999999999999997E-2</v>
      </c>
      <c r="AG369" s="21">
        <v>8.5588235294117646E-2</v>
      </c>
      <c r="AH369" s="21">
        <v>0.12049999999999998</v>
      </c>
      <c r="AI369" s="21">
        <v>4.0117647058823522E-2</v>
      </c>
      <c r="AJ369" s="21">
        <v>0.36023529411764704</v>
      </c>
    </row>
    <row r="370" spans="1:36" x14ac:dyDescent="0.25">
      <c r="A370" s="17" t="s">
        <v>810</v>
      </c>
      <c r="B370" s="18" t="s">
        <v>811</v>
      </c>
      <c r="C370" s="19" t="s">
        <v>146</v>
      </c>
      <c r="D370" s="20" t="s">
        <v>146</v>
      </c>
      <c r="E370" s="20">
        <v>1</v>
      </c>
      <c r="F370" s="20" t="s">
        <v>713</v>
      </c>
      <c r="G370" s="20" t="s">
        <v>994</v>
      </c>
      <c r="H370" s="5">
        <f t="shared" si="5"/>
        <v>886.07655882352924</v>
      </c>
      <c r="I370" s="21">
        <v>0.20923529411764702</v>
      </c>
      <c r="J370" s="21">
        <v>0.73594117647058821</v>
      </c>
      <c r="K370" s="21">
        <v>8.5242352941176467</v>
      </c>
      <c r="L370" s="6">
        <v>0.42723529411764705</v>
      </c>
      <c r="M370" s="21">
        <v>2.4325882352941175</v>
      </c>
      <c r="N370" s="21">
        <v>153.91444117647058</v>
      </c>
      <c r="O370" s="21">
        <v>0</v>
      </c>
      <c r="P370" s="21">
        <v>2.3823529411764702E-2</v>
      </c>
      <c r="Q370" s="21">
        <v>33.603999999999999</v>
      </c>
      <c r="R370" s="21">
        <v>3.1341764705882351</v>
      </c>
      <c r="S370" s="21">
        <v>23.134999999999998</v>
      </c>
      <c r="T370" s="21">
        <v>0</v>
      </c>
      <c r="U370" s="21">
        <v>0</v>
      </c>
      <c r="V370" s="21">
        <v>255.6166470588235</v>
      </c>
      <c r="W370" s="21">
        <v>20.579941176470587</v>
      </c>
      <c r="X370" s="21">
        <v>344.40088235294115</v>
      </c>
      <c r="Y370" s="21">
        <v>1.7352352941176468</v>
      </c>
      <c r="Z370" s="21">
        <v>21.384294117647059</v>
      </c>
      <c r="AA370" s="21">
        <v>0.80297058823529399</v>
      </c>
      <c r="AB370" s="21">
        <v>8.5414705882352937</v>
      </c>
      <c r="AC370" s="21">
        <v>4.2443529411764702</v>
      </c>
      <c r="AD370" s="21">
        <v>0.13202941176470587</v>
      </c>
      <c r="AE370" s="21">
        <v>0.1512941176470588</v>
      </c>
      <c r="AF370" s="21">
        <v>0.27391176470588235</v>
      </c>
      <c r="AG370" s="21">
        <v>0.41149999999999998</v>
      </c>
      <c r="AH370" s="21">
        <v>0.34764705882352936</v>
      </c>
      <c r="AI370" s="21">
        <v>9.5029411764705876E-2</v>
      </c>
      <c r="AJ370" s="21">
        <v>1.2186764705882351</v>
      </c>
    </row>
    <row r="371" spans="1:36" x14ac:dyDescent="0.25">
      <c r="A371" s="17" t="s">
        <v>812</v>
      </c>
      <c r="B371" s="18" t="s">
        <v>813</v>
      </c>
      <c r="C371" s="19" t="s">
        <v>146</v>
      </c>
      <c r="D371" s="20" t="s">
        <v>149</v>
      </c>
      <c r="E371" s="20">
        <v>1</v>
      </c>
      <c r="F371" s="20" t="s">
        <v>713</v>
      </c>
      <c r="G371" s="20" t="s">
        <v>994</v>
      </c>
      <c r="H371" s="5">
        <f t="shared" si="5"/>
        <v>297.74779411764706</v>
      </c>
      <c r="I371" s="21">
        <v>0.20355882352941174</v>
      </c>
      <c r="J371" s="21">
        <v>0.45082352941176468</v>
      </c>
      <c r="K371" s="21">
        <v>5.1707352941176463</v>
      </c>
      <c r="L371" s="6">
        <v>0.23097058823529409</v>
      </c>
      <c r="M371" s="21">
        <v>0.34452941176470586</v>
      </c>
      <c r="N371" s="21">
        <v>63.476558823529409</v>
      </c>
      <c r="O371" s="21">
        <v>0</v>
      </c>
      <c r="P371" s="21">
        <v>0</v>
      </c>
      <c r="Q371" s="21">
        <v>13.778382352941177</v>
      </c>
      <c r="R371" s="21">
        <v>0.51649999999999996</v>
      </c>
      <c r="S371" s="21">
        <v>16.775764705882352</v>
      </c>
      <c r="T371" s="21">
        <v>0</v>
      </c>
      <c r="U371" s="21">
        <v>0</v>
      </c>
      <c r="V371" s="21">
        <v>101.35326470588234</v>
      </c>
      <c r="W371" s="21">
        <v>7.0639705882352928</v>
      </c>
      <c r="X371" s="21">
        <v>80.752558823529412</v>
      </c>
      <c r="Y371" s="21">
        <v>0.2444117647058823</v>
      </c>
      <c r="Z371" s="21">
        <v>4.0320882352941174</v>
      </c>
      <c r="AA371" s="21">
        <v>0.28291176470588231</v>
      </c>
      <c r="AB371" s="21">
        <v>1.5421176470588234</v>
      </c>
      <c r="AC371" s="21">
        <v>0.93911764705882339</v>
      </c>
      <c r="AD371" s="21">
        <v>1.6941176470588234E-2</v>
      </c>
      <c r="AE371" s="21">
        <v>6.9735294117647048E-2</v>
      </c>
      <c r="AF371" s="21">
        <v>2.7470588235294115E-2</v>
      </c>
      <c r="AG371" s="21">
        <v>0.13049999999999998</v>
      </c>
      <c r="AH371" s="21">
        <v>9.0205882352941164E-2</v>
      </c>
      <c r="AI371" s="21">
        <v>3.8058823529411763E-2</v>
      </c>
      <c r="AJ371" s="21">
        <v>0.2166176470588235</v>
      </c>
    </row>
    <row r="372" spans="1:36" x14ac:dyDescent="0.25">
      <c r="A372" s="17" t="s">
        <v>814</v>
      </c>
      <c r="B372" s="18" t="s">
        <v>815</v>
      </c>
      <c r="C372" s="19" t="s">
        <v>146</v>
      </c>
      <c r="D372" s="20" t="s">
        <v>151</v>
      </c>
      <c r="E372" s="20">
        <v>2</v>
      </c>
      <c r="F372" s="20" t="s">
        <v>713</v>
      </c>
      <c r="G372" s="20" t="s">
        <v>994</v>
      </c>
      <c r="H372" s="5">
        <f t="shared" si="5"/>
        <v>315.70914705882336</v>
      </c>
      <c r="I372" s="21">
        <v>0.17082352941176468</v>
      </c>
      <c r="J372" s="21">
        <v>0.33499999999999996</v>
      </c>
      <c r="K372" s="21">
        <v>3.7808823529411764</v>
      </c>
      <c r="L372" s="6">
        <v>0.1895</v>
      </c>
      <c r="M372" s="21">
        <v>0.55288235294117649</v>
      </c>
      <c r="N372" s="21">
        <v>66.44561764705881</v>
      </c>
      <c r="O372" s="21">
        <v>0</v>
      </c>
      <c r="P372" s="21">
        <v>0</v>
      </c>
      <c r="Q372" s="21">
        <v>14.310117647058824</v>
      </c>
      <c r="R372" s="21">
        <v>0.67388235294117638</v>
      </c>
      <c r="S372" s="21">
        <v>10.5145</v>
      </c>
      <c r="T372" s="21">
        <v>0</v>
      </c>
      <c r="U372" s="21">
        <v>0</v>
      </c>
      <c r="V372" s="21">
        <v>103.43623529411764</v>
      </c>
      <c r="W372" s="21">
        <v>8.9221176470588226</v>
      </c>
      <c r="X372" s="21">
        <v>95.767529411764698</v>
      </c>
      <c r="Y372" s="21">
        <v>0.3892647058823529</v>
      </c>
      <c r="Z372" s="21">
        <v>6.3720294117647054</v>
      </c>
      <c r="AA372" s="21">
        <v>0.2274411764705882</v>
      </c>
      <c r="AB372" s="21">
        <v>1.7028529411764703</v>
      </c>
      <c r="AC372" s="21">
        <v>1.2182647058823528</v>
      </c>
      <c r="AD372" s="21">
        <v>5.8676470588235288E-2</v>
      </c>
      <c r="AE372" s="21">
        <v>5.202941176470588E-2</v>
      </c>
      <c r="AF372" s="21">
        <v>8.9147058823529399E-2</v>
      </c>
      <c r="AG372" s="21">
        <v>9.3911764705882347E-2</v>
      </c>
      <c r="AH372" s="21">
        <v>0.11455882352941175</v>
      </c>
      <c r="AI372" s="21">
        <v>3.1882352941176473E-2</v>
      </c>
      <c r="AJ372" s="21">
        <v>0.26</v>
      </c>
    </row>
    <row r="373" spans="1:36" x14ac:dyDescent="0.25">
      <c r="A373" s="17" t="s">
        <v>816</v>
      </c>
      <c r="B373" s="18" t="s">
        <v>817</v>
      </c>
      <c r="C373" s="19" t="s">
        <v>146</v>
      </c>
      <c r="D373" s="20" t="s">
        <v>153</v>
      </c>
      <c r="E373" s="20">
        <v>2</v>
      </c>
      <c r="F373" s="20" t="s">
        <v>713</v>
      </c>
      <c r="G373" s="20" t="s">
        <v>994</v>
      </c>
      <c r="H373" s="5">
        <f t="shared" si="5"/>
        <v>156.62632352941174</v>
      </c>
      <c r="I373" s="21">
        <v>0.13061764705882351</v>
      </c>
      <c r="J373" s="21">
        <v>0.28976470588235292</v>
      </c>
      <c r="K373" s="21">
        <v>2.6569705882352941</v>
      </c>
      <c r="L373" s="6">
        <v>0.16014705882352939</v>
      </c>
      <c r="M373" s="21">
        <v>0.24326470588235294</v>
      </c>
      <c r="N373" s="21">
        <v>36.182352941176468</v>
      </c>
      <c r="O373" s="21">
        <v>0</v>
      </c>
      <c r="P373" s="21">
        <v>0</v>
      </c>
      <c r="Q373" s="21">
        <v>9.7744705882352925</v>
      </c>
      <c r="R373" s="21">
        <v>0.27288235294117646</v>
      </c>
      <c r="S373" s="21">
        <v>6.0814705882352929</v>
      </c>
      <c r="T373" s="21">
        <v>0</v>
      </c>
      <c r="U373" s="21">
        <v>0</v>
      </c>
      <c r="V373" s="21">
        <v>49.253999999999991</v>
      </c>
      <c r="W373" s="21">
        <v>3.664441176470588</v>
      </c>
      <c r="X373" s="21">
        <v>43.962294117647055</v>
      </c>
      <c r="Y373" s="21">
        <v>0.13288235294117645</v>
      </c>
      <c r="Z373" s="21">
        <v>2.4121176470588233</v>
      </c>
      <c r="AA373" s="21">
        <v>0.111</v>
      </c>
      <c r="AB373" s="21">
        <v>0.56226470588235289</v>
      </c>
      <c r="AC373" s="21">
        <v>0.47347058823529409</v>
      </c>
      <c r="AD373" s="21">
        <v>2.7058823529411765E-3</v>
      </c>
      <c r="AE373" s="21">
        <v>2.5470588235294113E-2</v>
      </c>
      <c r="AF373" s="21">
        <v>1.8382352941176471E-2</v>
      </c>
      <c r="AG373" s="21">
        <v>3.9735294117647056E-2</v>
      </c>
      <c r="AH373" s="21">
        <v>5.2264705882352942E-2</v>
      </c>
      <c r="AI373" s="21">
        <v>1.0558823529411763E-2</v>
      </c>
      <c r="AJ373" s="21">
        <v>0.11279411764705882</v>
      </c>
    </row>
    <row r="374" spans="1:36" x14ac:dyDescent="0.25">
      <c r="A374" s="17" t="s">
        <v>818</v>
      </c>
      <c r="B374" s="18" t="s">
        <v>819</v>
      </c>
      <c r="C374" s="19" t="s">
        <v>146</v>
      </c>
      <c r="D374" s="20" t="s">
        <v>155</v>
      </c>
      <c r="E374" s="20">
        <v>2</v>
      </c>
      <c r="F374" s="20" t="s">
        <v>713</v>
      </c>
      <c r="G374" s="20" t="s">
        <v>994</v>
      </c>
      <c r="H374" s="5">
        <f t="shared" si="5"/>
        <v>406.19576470588237</v>
      </c>
      <c r="I374" s="21">
        <v>0.20044117647058823</v>
      </c>
      <c r="J374" s="21">
        <v>0.48111764705882348</v>
      </c>
      <c r="K374" s="21">
        <v>5.9342058823529404</v>
      </c>
      <c r="L374" s="6">
        <v>0.31667647058823528</v>
      </c>
      <c r="M374" s="21">
        <v>0.55994117647058816</v>
      </c>
      <c r="N374" s="21">
        <v>84.761823529411757</v>
      </c>
      <c r="O374" s="21">
        <v>0</v>
      </c>
      <c r="P374" s="21">
        <v>0</v>
      </c>
      <c r="Q374" s="21">
        <v>21.341529411764704</v>
      </c>
      <c r="R374" s="21">
        <v>0.75052941176470589</v>
      </c>
      <c r="S374" s="21">
        <v>17.796088235294118</v>
      </c>
      <c r="T374" s="21">
        <v>0</v>
      </c>
      <c r="U374" s="21">
        <v>0</v>
      </c>
      <c r="V374" s="21">
        <v>134.03941176470587</v>
      </c>
      <c r="W374" s="21">
        <v>10.989647058823527</v>
      </c>
      <c r="X374" s="21">
        <v>117.18479411764704</v>
      </c>
      <c r="Y374" s="21">
        <v>0.38644117647058823</v>
      </c>
      <c r="Z374" s="21">
        <v>6.8280882352941168</v>
      </c>
      <c r="AA374" s="21">
        <v>0.32202941176470584</v>
      </c>
      <c r="AB374" s="21">
        <v>2.0256176470588234</v>
      </c>
      <c r="AC374" s="21">
        <v>1.4218529411764707</v>
      </c>
      <c r="AD374" s="21">
        <v>2.961764705882353E-2</v>
      </c>
      <c r="AE374" s="21">
        <v>7.7088235294117638E-2</v>
      </c>
      <c r="AF374" s="21">
        <v>5.2705882352941165E-2</v>
      </c>
      <c r="AG374" s="21">
        <v>0.10288235294117645</v>
      </c>
      <c r="AH374" s="21">
        <v>0.15670588235294117</v>
      </c>
      <c r="AI374" s="21">
        <v>5.4147058823529402E-2</v>
      </c>
      <c r="AJ374" s="21">
        <v>0.3823823529411764</v>
      </c>
    </row>
    <row r="375" spans="1:36" x14ac:dyDescent="0.25">
      <c r="A375" s="17" t="s">
        <v>820</v>
      </c>
      <c r="B375" s="18" t="s">
        <v>821</v>
      </c>
      <c r="C375" s="19" t="s">
        <v>146</v>
      </c>
      <c r="D375" s="20" t="s">
        <v>157</v>
      </c>
      <c r="E375" s="20">
        <v>2</v>
      </c>
      <c r="F375" s="20" t="s">
        <v>713</v>
      </c>
      <c r="G375" s="20" t="s">
        <v>994</v>
      </c>
      <c r="H375" s="5">
        <f t="shared" si="5"/>
        <v>448.18323529411771</v>
      </c>
      <c r="I375" s="21">
        <v>0.14902941176470588</v>
      </c>
      <c r="J375" s="21">
        <v>0.45988235294117641</v>
      </c>
      <c r="K375" s="21">
        <v>4.3832941176470586</v>
      </c>
      <c r="L375" s="6">
        <v>0.23899999999999999</v>
      </c>
      <c r="M375" s="21">
        <v>1.0020294117647057</v>
      </c>
      <c r="N375" s="21">
        <v>76.167235294117646</v>
      </c>
      <c r="O375" s="21">
        <v>0</v>
      </c>
      <c r="P375" s="21">
        <v>0</v>
      </c>
      <c r="Q375" s="21">
        <v>19.245117647058819</v>
      </c>
      <c r="R375" s="21">
        <v>1.2274411764705881</v>
      </c>
      <c r="S375" s="21">
        <v>11.409911764705882</v>
      </c>
      <c r="T375" s="21">
        <v>0</v>
      </c>
      <c r="U375" s="21">
        <v>0</v>
      </c>
      <c r="V375" s="21">
        <v>134.24014705882351</v>
      </c>
      <c r="W375" s="21">
        <v>11.235441176470587</v>
      </c>
      <c r="X375" s="21">
        <v>172.89282352941174</v>
      </c>
      <c r="Y375" s="21">
        <v>0.70291176470588235</v>
      </c>
      <c r="Z375" s="21">
        <v>8.7917647058823523</v>
      </c>
      <c r="AA375" s="21">
        <v>0.34035294117647058</v>
      </c>
      <c r="AB375" s="21">
        <v>3.2822941176470586</v>
      </c>
      <c r="AC375" s="21">
        <v>1.5485</v>
      </c>
      <c r="AD375" s="21">
        <v>5.5823529411764702E-2</v>
      </c>
      <c r="AE375" s="21">
        <v>7.0499999999999993E-2</v>
      </c>
      <c r="AF375" s="21">
        <v>6.8617647058823519E-2</v>
      </c>
      <c r="AG375" s="21">
        <v>0.16829411764705882</v>
      </c>
      <c r="AH375" s="21">
        <v>0.11470588235294117</v>
      </c>
      <c r="AI375" s="21">
        <v>4.3264705882352941E-2</v>
      </c>
      <c r="AJ375" s="21">
        <v>0.34485294117647053</v>
      </c>
    </row>
    <row r="376" spans="1:36" x14ac:dyDescent="0.25">
      <c r="A376" s="17" t="s">
        <v>822</v>
      </c>
      <c r="B376" s="18" t="s">
        <v>823</v>
      </c>
      <c r="C376" s="19" t="s">
        <v>146</v>
      </c>
      <c r="D376" s="20" t="s">
        <v>159</v>
      </c>
      <c r="E376" s="20">
        <v>2</v>
      </c>
      <c r="F376" s="20" t="s">
        <v>713</v>
      </c>
      <c r="G376" s="20" t="s">
        <v>994</v>
      </c>
      <c r="H376" s="5">
        <f t="shared" si="5"/>
        <v>158.77199999999993</v>
      </c>
      <c r="I376" s="21">
        <v>0.16211764705882353</v>
      </c>
      <c r="J376" s="21">
        <v>0.3136176470588235</v>
      </c>
      <c r="K376" s="21">
        <v>2.7173823529411765</v>
      </c>
      <c r="L376" s="6">
        <v>0.15970588235294117</v>
      </c>
      <c r="M376" s="21">
        <v>0.21323529411764702</v>
      </c>
      <c r="N376" s="21">
        <v>34.918558823529409</v>
      </c>
      <c r="O376" s="21">
        <v>0</v>
      </c>
      <c r="P376" s="21">
        <v>0</v>
      </c>
      <c r="Q376" s="21">
        <v>8.3781764705882349</v>
      </c>
      <c r="R376" s="21">
        <v>0.26879411764705879</v>
      </c>
      <c r="S376" s="21">
        <v>7.8270882352941173</v>
      </c>
      <c r="T376" s="21">
        <v>0</v>
      </c>
      <c r="U376" s="21">
        <v>0</v>
      </c>
      <c r="V376" s="21">
        <v>52.552676470588224</v>
      </c>
      <c r="W376" s="21">
        <v>3.9602058823529411</v>
      </c>
      <c r="X376" s="21">
        <v>43.246941176470585</v>
      </c>
      <c r="Y376" s="21">
        <v>0.13400000000000001</v>
      </c>
      <c r="Z376" s="21">
        <v>2.3617058823529411</v>
      </c>
      <c r="AA376" s="21">
        <v>0.12532352941176469</v>
      </c>
      <c r="AB376" s="21">
        <v>0.6773529411764706</v>
      </c>
      <c r="AC376" s="21">
        <v>0.47923529411764704</v>
      </c>
      <c r="AD376" s="21">
        <v>7.3529411764705881E-3</v>
      </c>
      <c r="AE376" s="21">
        <v>3.1029411764705882E-2</v>
      </c>
      <c r="AF376" s="21">
        <v>1.5588235294117646E-2</v>
      </c>
      <c r="AG376" s="21">
        <v>6.1735294117647062E-2</v>
      </c>
      <c r="AH376" s="21">
        <v>4.4117647058823525E-2</v>
      </c>
      <c r="AI376" s="21">
        <v>1.7617647058823526E-2</v>
      </c>
      <c r="AJ376" s="21">
        <v>9.8441176470588226E-2</v>
      </c>
    </row>
    <row r="377" spans="1:36" x14ac:dyDescent="0.25">
      <c r="A377" s="17" t="s">
        <v>824</v>
      </c>
      <c r="B377" s="18" t="s">
        <v>825</v>
      </c>
      <c r="C377" s="19" t="s">
        <v>146</v>
      </c>
      <c r="D377" s="20" t="s">
        <v>163</v>
      </c>
      <c r="E377" s="20">
        <v>6</v>
      </c>
      <c r="F377" s="20" t="s">
        <v>713</v>
      </c>
      <c r="G377" s="20" t="s">
        <v>994</v>
      </c>
      <c r="H377" s="5">
        <f t="shared" si="5"/>
        <v>600.1939705882354</v>
      </c>
      <c r="I377" s="21">
        <v>0.25591176470588234</v>
      </c>
      <c r="J377" s="21">
        <v>0.72432352941176459</v>
      </c>
      <c r="K377" s="21">
        <v>10.260470588235293</v>
      </c>
      <c r="L377" s="6">
        <v>0.58117647058823529</v>
      </c>
      <c r="M377" s="21">
        <v>0.80223529411764705</v>
      </c>
      <c r="N377" s="21">
        <v>130.00802941176471</v>
      </c>
      <c r="O377" s="21">
        <v>0</v>
      </c>
      <c r="P377" s="21">
        <v>1.288235294117647E-2</v>
      </c>
      <c r="Q377" s="21">
        <v>34.191411764705883</v>
      </c>
      <c r="R377" s="21">
        <v>1.099941176470588</v>
      </c>
      <c r="S377" s="21">
        <v>29.282088235294115</v>
      </c>
      <c r="T377" s="21">
        <v>0</v>
      </c>
      <c r="U377" s="21">
        <v>0</v>
      </c>
      <c r="V377" s="21">
        <v>193.48608823529409</v>
      </c>
      <c r="W377" s="21">
        <v>15.950441176470585</v>
      </c>
      <c r="X377" s="21">
        <v>166.08485294117648</v>
      </c>
      <c r="Y377" s="21">
        <v>0.5475882352941176</v>
      </c>
      <c r="Z377" s="21">
        <v>9.709411764705882</v>
      </c>
      <c r="AA377" s="21">
        <v>0.56097058823529411</v>
      </c>
      <c r="AB377" s="21">
        <v>3.5412058823529411</v>
      </c>
      <c r="AC377" s="21">
        <v>1.9982352941176469</v>
      </c>
      <c r="AD377" s="21">
        <v>4.4294117647058824E-2</v>
      </c>
      <c r="AE377" s="21">
        <v>0.13411764705882354</v>
      </c>
      <c r="AF377" s="21">
        <v>6.5794117647058822E-2</v>
      </c>
      <c r="AG377" s="21">
        <v>0.18785294117647056</v>
      </c>
      <c r="AH377" s="21">
        <v>0.17849999999999999</v>
      </c>
      <c r="AI377" s="21">
        <v>9.7676470588235295E-2</v>
      </c>
      <c r="AJ377" s="21">
        <v>0.38847058823529407</v>
      </c>
    </row>
    <row r="378" spans="1:36" x14ac:dyDescent="0.25">
      <c r="A378" s="17" t="s">
        <v>826</v>
      </c>
      <c r="B378" s="18" t="s">
        <v>827</v>
      </c>
      <c r="C378" s="19" t="s">
        <v>146</v>
      </c>
      <c r="D378" s="20" t="s">
        <v>165</v>
      </c>
      <c r="E378" s="20">
        <v>6</v>
      </c>
      <c r="F378" s="20" t="s">
        <v>713</v>
      </c>
      <c r="G378" s="20" t="s">
        <v>994</v>
      </c>
      <c r="H378" s="5">
        <f t="shared" si="5"/>
        <v>396.19502941176461</v>
      </c>
      <c r="I378" s="21">
        <v>0.17485294117647057</v>
      </c>
      <c r="J378" s="21">
        <v>0.51817647058823524</v>
      </c>
      <c r="K378" s="21">
        <v>6.739529411764706</v>
      </c>
      <c r="L378" s="6">
        <v>0.40870588235294114</v>
      </c>
      <c r="M378" s="21">
        <v>0.47935294117647059</v>
      </c>
      <c r="N378" s="21">
        <v>86.537029411764692</v>
      </c>
      <c r="O378" s="21">
        <v>7.3529411764705881E-4</v>
      </c>
      <c r="P378" s="21">
        <v>0</v>
      </c>
      <c r="Q378" s="21">
        <v>24.049117647058821</v>
      </c>
      <c r="R378" s="21">
        <v>0.60905882352941165</v>
      </c>
      <c r="S378" s="21">
        <v>17.458882352941174</v>
      </c>
      <c r="T378" s="21">
        <v>0</v>
      </c>
      <c r="U378" s="21">
        <v>0</v>
      </c>
      <c r="V378" s="21">
        <v>129.87020588235293</v>
      </c>
      <c r="W378" s="21">
        <v>10.692499999999999</v>
      </c>
      <c r="X378" s="21">
        <v>108.72061764705882</v>
      </c>
      <c r="Y378" s="21">
        <v>0.34702941176470586</v>
      </c>
      <c r="Z378" s="21">
        <v>5.8536176470588233</v>
      </c>
      <c r="AA378" s="21">
        <v>0.29238235294117643</v>
      </c>
      <c r="AB378" s="21">
        <v>1.7930588235294116</v>
      </c>
      <c r="AC378" s="21">
        <v>1.0999705882352939</v>
      </c>
      <c r="AD378" s="21">
        <v>2.0411764705882351E-2</v>
      </c>
      <c r="AE378" s="21">
        <v>6.1205882352941166E-2</v>
      </c>
      <c r="AF378" s="21">
        <v>3.4294117647058822E-2</v>
      </c>
      <c r="AG378" s="21">
        <v>8.6029411764705882E-2</v>
      </c>
      <c r="AH378" s="21">
        <v>0.10158823529411765</v>
      </c>
      <c r="AI378" s="21">
        <v>4.8705882352941168E-2</v>
      </c>
      <c r="AJ378" s="21">
        <v>0.19797058823529409</v>
      </c>
    </row>
    <row r="379" spans="1:36" x14ac:dyDescent="0.25">
      <c r="A379" s="17" t="s">
        <v>828</v>
      </c>
      <c r="B379" s="18" t="s">
        <v>829</v>
      </c>
      <c r="C379" s="19" t="s">
        <v>146</v>
      </c>
      <c r="D379" s="20" t="s">
        <v>161</v>
      </c>
      <c r="E379" s="20">
        <v>6</v>
      </c>
      <c r="F379" s="20" t="s">
        <v>713</v>
      </c>
      <c r="G379" s="20" t="s">
        <v>994</v>
      </c>
      <c r="H379" s="5">
        <f t="shared" si="5"/>
        <v>343.59558823529414</v>
      </c>
      <c r="I379" s="21">
        <v>0.2151176470588235</v>
      </c>
      <c r="J379" s="21">
        <v>0.53911764705882348</v>
      </c>
      <c r="K379" s="21">
        <v>6.2003529411764697</v>
      </c>
      <c r="L379" s="6">
        <v>0.29179411764705881</v>
      </c>
      <c r="M379" s="21">
        <v>0.48073529411764704</v>
      </c>
      <c r="N379" s="21">
        <v>81.344764705882341</v>
      </c>
      <c r="O379" s="21">
        <v>0</v>
      </c>
      <c r="P379" s="21">
        <v>0</v>
      </c>
      <c r="Q379" s="21">
        <v>18.354205882352939</v>
      </c>
      <c r="R379" s="21">
        <v>0.64447058823529413</v>
      </c>
      <c r="S379" s="21">
        <v>17.672499999999999</v>
      </c>
      <c r="T379" s="21">
        <v>0</v>
      </c>
      <c r="U379" s="21">
        <v>0</v>
      </c>
      <c r="V379" s="21">
        <v>104.76844117647059</v>
      </c>
      <c r="W379" s="21">
        <v>8.1785588235294107</v>
      </c>
      <c r="X379" s="21">
        <v>95.425058823529398</v>
      </c>
      <c r="Y379" s="21">
        <v>0.1903235294117647</v>
      </c>
      <c r="Z379" s="21">
        <v>5.0404999999999998</v>
      </c>
      <c r="AA379" s="21">
        <v>0.35317647058823526</v>
      </c>
      <c r="AB379" s="21">
        <v>2.0689411764705881</v>
      </c>
      <c r="AC379" s="21">
        <v>1.0855588235294116</v>
      </c>
      <c r="AD379" s="21">
        <v>1.7617647058823526E-2</v>
      </c>
      <c r="AE379" s="21">
        <v>0.10320588235294118</v>
      </c>
      <c r="AF379" s="21">
        <v>2.4E-2</v>
      </c>
      <c r="AG379" s="21">
        <v>0.12049999999999998</v>
      </c>
      <c r="AH379" s="21">
        <v>0.13349999999999998</v>
      </c>
      <c r="AI379" s="21">
        <v>5.3382352941176464E-2</v>
      </c>
      <c r="AJ379" s="21">
        <v>0.28976470588235292</v>
      </c>
    </row>
    <row r="380" spans="1:36" x14ac:dyDescent="0.25">
      <c r="A380" s="17" t="s">
        <v>830</v>
      </c>
      <c r="B380" s="18" t="s">
        <v>831</v>
      </c>
      <c r="C380" s="19" t="s">
        <v>146</v>
      </c>
      <c r="D380" s="20" t="s">
        <v>167</v>
      </c>
      <c r="E380" s="20">
        <v>6</v>
      </c>
      <c r="F380" s="20" t="s">
        <v>713</v>
      </c>
      <c r="G380" s="20" t="s">
        <v>994</v>
      </c>
      <c r="H380" s="5">
        <f t="shared" si="5"/>
        <v>227.37044117647059</v>
      </c>
      <c r="I380" s="21">
        <v>0.14070588235294118</v>
      </c>
      <c r="J380" s="21">
        <v>0.34838235294117642</v>
      </c>
      <c r="K380" s="21">
        <v>3.846676470588235</v>
      </c>
      <c r="L380" s="6">
        <v>0.18673529411764705</v>
      </c>
      <c r="M380" s="21">
        <v>0.28885294117647059</v>
      </c>
      <c r="N380" s="21">
        <v>49.531294117647057</v>
      </c>
      <c r="O380" s="21">
        <v>0</v>
      </c>
      <c r="P380" s="21">
        <v>0</v>
      </c>
      <c r="Q380" s="21">
        <v>11.625911764705881</v>
      </c>
      <c r="R380" s="21">
        <v>0.3842647058823529</v>
      </c>
      <c r="S380" s="21">
        <v>10.307735294117647</v>
      </c>
      <c r="T380" s="21">
        <v>0</v>
      </c>
      <c r="U380" s="21">
        <v>0</v>
      </c>
      <c r="V380" s="21">
        <v>74.810882352941178</v>
      </c>
      <c r="W380" s="21">
        <v>5.4294117647058826</v>
      </c>
      <c r="X380" s="21">
        <v>64.36099999999999</v>
      </c>
      <c r="Y380" s="21">
        <v>0.18699999999999997</v>
      </c>
      <c r="Z380" s="21">
        <v>3.501588235294117</v>
      </c>
      <c r="AA380" s="21">
        <v>0.17773529411764705</v>
      </c>
      <c r="AB380" s="21">
        <v>1.0864705882352941</v>
      </c>
      <c r="AC380" s="21">
        <v>0.71282352941176463</v>
      </c>
      <c r="AD380" s="21">
        <v>5.9117647058823525E-3</v>
      </c>
      <c r="AE380" s="21">
        <v>4.0411764705882348E-2</v>
      </c>
      <c r="AF380" s="21">
        <v>2.5411764705882352E-2</v>
      </c>
      <c r="AG380" s="21">
        <v>9.3676470588235292E-2</v>
      </c>
      <c r="AH380" s="21">
        <v>7.9499999999999987E-2</v>
      </c>
      <c r="AI380" s="21">
        <v>2.0529411764705879E-2</v>
      </c>
      <c r="AJ380" s="21">
        <v>0.17752941176470585</v>
      </c>
    </row>
    <row r="381" spans="1:36" x14ac:dyDescent="0.25">
      <c r="A381" s="17" t="s">
        <v>832</v>
      </c>
      <c r="B381" s="18" t="s">
        <v>833</v>
      </c>
      <c r="C381" s="19" t="s">
        <v>146</v>
      </c>
      <c r="D381" s="20" t="s">
        <v>169</v>
      </c>
      <c r="E381" s="20">
        <v>6</v>
      </c>
      <c r="F381" s="20" t="s">
        <v>713</v>
      </c>
      <c r="G381" s="20" t="s">
        <v>994</v>
      </c>
      <c r="H381" s="5">
        <f t="shared" si="5"/>
        <v>198.28344117647055</v>
      </c>
      <c r="I381" s="21">
        <v>0.12952941176470589</v>
      </c>
      <c r="J381" s="21">
        <v>0.33138235294117646</v>
      </c>
      <c r="K381" s="21">
        <v>3.5084705882352938</v>
      </c>
      <c r="L381" s="6">
        <v>0.16855882352941176</v>
      </c>
      <c r="M381" s="21">
        <v>0.24508823529411763</v>
      </c>
      <c r="N381" s="21">
        <v>43.64111764705882</v>
      </c>
      <c r="O381" s="21">
        <v>0</v>
      </c>
      <c r="P381" s="21">
        <v>0</v>
      </c>
      <c r="Q381" s="21">
        <v>9.0133529411764695</v>
      </c>
      <c r="R381" s="21">
        <v>0.35035294117647059</v>
      </c>
      <c r="S381" s="21">
        <v>10.388647058823528</v>
      </c>
      <c r="T381" s="21">
        <v>0</v>
      </c>
      <c r="U381" s="21">
        <v>0</v>
      </c>
      <c r="V381" s="21">
        <v>65.295147058823531</v>
      </c>
      <c r="W381" s="21">
        <v>4.5669411764705874</v>
      </c>
      <c r="X381" s="21">
        <v>55.584117647058811</v>
      </c>
      <c r="Y381" s="21">
        <v>0.15320588235294116</v>
      </c>
      <c r="Z381" s="21">
        <v>2.7823235294117645</v>
      </c>
      <c r="AA381" s="21">
        <v>0.18535294117647058</v>
      </c>
      <c r="AB381" s="21">
        <v>1.0050882352941175</v>
      </c>
      <c r="AC381" s="21">
        <v>0.59047058823529408</v>
      </c>
      <c r="AD381" s="21">
        <v>6.4999999999999997E-3</v>
      </c>
      <c r="AE381" s="21">
        <v>4.3235294117647052E-2</v>
      </c>
      <c r="AF381" s="21">
        <v>1.5529411764705882E-2</v>
      </c>
      <c r="AG381" s="21">
        <v>9.9029411764705866E-2</v>
      </c>
      <c r="AH381" s="21">
        <v>4.4588235294117644E-2</v>
      </c>
      <c r="AI381" s="21">
        <v>2.7823529411764702E-2</v>
      </c>
      <c r="AJ381" s="21">
        <v>0.10758823529411764</v>
      </c>
    </row>
    <row r="382" spans="1:36" x14ac:dyDescent="0.25">
      <c r="A382" s="17" t="s">
        <v>834</v>
      </c>
      <c r="B382" s="18" t="s">
        <v>835</v>
      </c>
      <c r="C382" s="19" t="s">
        <v>146</v>
      </c>
      <c r="D382" s="20" t="s">
        <v>141</v>
      </c>
      <c r="E382" s="20">
        <v>0</v>
      </c>
      <c r="F382" s="20" t="s">
        <v>744</v>
      </c>
      <c r="G382" s="20" t="s">
        <v>994</v>
      </c>
      <c r="H382" s="5">
        <f t="shared" si="5"/>
        <v>140.41644117647061</v>
      </c>
      <c r="I382" s="21">
        <v>6.4705882352941169E-2</v>
      </c>
      <c r="J382" s="21">
        <v>0.20467647058823527</v>
      </c>
      <c r="K382" s="21">
        <v>2.4236176470588235</v>
      </c>
      <c r="L382" s="6">
        <v>0.14199999999999999</v>
      </c>
      <c r="M382" s="21">
        <v>0.12805882352941175</v>
      </c>
      <c r="N382" s="21">
        <v>24.816499999999998</v>
      </c>
      <c r="O382" s="21">
        <v>0</v>
      </c>
      <c r="P382" s="21">
        <v>0</v>
      </c>
      <c r="Q382" s="21">
        <v>3.58285294117647</v>
      </c>
      <c r="R382" s="21">
        <v>0.26538235294117646</v>
      </c>
      <c r="S382" s="21">
        <v>9.4256176470588233</v>
      </c>
      <c r="T382" s="21">
        <v>0</v>
      </c>
      <c r="U382" s="21">
        <v>0</v>
      </c>
      <c r="V382" s="21">
        <v>45.762823529411762</v>
      </c>
      <c r="W382" s="21">
        <v>3.3037058823529408</v>
      </c>
      <c r="X382" s="21">
        <v>44.082794117647055</v>
      </c>
      <c r="Y382" s="21">
        <v>6.6235294117647045E-2</v>
      </c>
      <c r="Z382" s="21">
        <v>1.4250294117647058</v>
      </c>
      <c r="AA382" s="21">
        <v>0.37691176470588228</v>
      </c>
      <c r="AB382" s="21">
        <v>1.1801764705882352</v>
      </c>
      <c r="AC382" s="21">
        <v>1.8541470588235294</v>
      </c>
      <c r="AD382" s="21">
        <v>9.4117647058823532E-4</v>
      </c>
      <c r="AE382" s="21">
        <v>0.14882352941176469</v>
      </c>
      <c r="AF382" s="21">
        <v>2.1088235294117647E-2</v>
      </c>
      <c r="AG382" s="21">
        <v>9.1647058823529401E-2</v>
      </c>
      <c r="AH382" s="21">
        <v>0.19223529411764706</v>
      </c>
      <c r="AI382" s="21">
        <v>6.9205882352941173E-2</v>
      </c>
      <c r="AJ382" s="21">
        <v>0.78726470588235298</v>
      </c>
    </row>
    <row r="383" spans="1:36" x14ac:dyDescent="0.25">
      <c r="A383" s="17" t="s">
        <v>836</v>
      </c>
      <c r="B383" s="18" t="s">
        <v>837</v>
      </c>
      <c r="C383" s="19" t="s">
        <v>146</v>
      </c>
      <c r="D383" s="20" t="s">
        <v>143</v>
      </c>
      <c r="E383" s="20">
        <v>1</v>
      </c>
      <c r="F383" s="20" t="s">
        <v>744</v>
      </c>
      <c r="G383" s="20" t="s">
        <v>994</v>
      </c>
      <c r="H383" s="5">
        <f t="shared" si="5"/>
        <v>190.27376470588234</v>
      </c>
      <c r="I383" s="21">
        <v>0.16188235294117645</v>
      </c>
      <c r="J383" s="21">
        <v>0.44064705882352939</v>
      </c>
      <c r="K383" s="21">
        <v>4.0024999999999995</v>
      </c>
      <c r="L383" s="6">
        <v>0.13205882352941176</v>
      </c>
      <c r="M383" s="21">
        <v>0.16785294117647059</v>
      </c>
      <c r="N383" s="21">
        <v>41.70305882352941</v>
      </c>
      <c r="O383" s="21">
        <v>6.4735294117647044E-2</v>
      </c>
      <c r="P383" s="21">
        <v>5.4735294117647056E-2</v>
      </c>
      <c r="Q383" s="21">
        <v>6.974235294117646</v>
      </c>
      <c r="R383" s="21">
        <v>0.23899999999999999</v>
      </c>
      <c r="S383" s="21">
        <v>12.815441176470586</v>
      </c>
      <c r="T383" s="21">
        <v>0</v>
      </c>
      <c r="U383" s="21">
        <v>0</v>
      </c>
      <c r="V383" s="21">
        <v>62.864852941176466</v>
      </c>
      <c r="W383" s="21">
        <v>4.0192647058823523</v>
      </c>
      <c r="X383" s="21">
        <v>50.173382352941168</v>
      </c>
      <c r="Y383" s="21">
        <v>0.10120588235294117</v>
      </c>
      <c r="Z383" s="21">
        <v>1.4384117647058823</v>
      </c>
      <c r="AA383" s="21">
        <v>0.80688235294117627</v>
      </c>
      <c r="AB383" s="21">
        <v>1.3507941176470588</v>
      </c>
      <c r="AC383" s="21">
        <v>1.7479705882352941</v>
      </c>
      <c r="AD383" s="21">
        <v>1.7352941176470585E-2</v>
      </c>
      <c r="AE383" s="21">
        <v>0.19123529411764703</v>
      </c>
      <c r="AF383" s="21">
        <v>3.0705882352941173E-2</v>
      </c>
      <c r="AG383" s="21">
        <v>0.23861764705882349</v>
      </c>
      <c r="AH383" s="21">
        <v>9.3676470588235292E-2</v>
      </c>
      <c r="AI383" s="21">
        <v>5.4323529411764701E-2</v>
      </c>
      <c r="AJ383" s="21">
        <v>0.38894117647058818</v>
      </c>
    </row>
    <row r="384" spans="1:36" x14ac:dyDescent="0.25">
      <c r="A384" s="17" t="s">
        <v>838</v>
      </c>
      <c r="B384" s="18" t="s">
        <v>839</v>
      </c>
      <c r="C384" s="19" t="s">
        <v>146</v>
      </c>
      <c r="D384" s="20" t="s">
        <v>145</v>
      </c>
      <c r="E384" s="20">
        <v>1</v>
      </c>
      <c r="F384" s="20" t="s">
        <v>744</v>
      </c>
      <c r="G384" s="20" t="s">
        <v>994</v>
      </c>
      <c r="H384" s="5">
        <f t="shared" si="5"/>
        <v>156.32876470588238</v>
      </c>
      <c r="I384" s="21">
        <v>0.13529411764705881</v>
      </c>
      <c r="J384" s="21">
        <v>0.30161764705882349</v>
      </c>
      <c r="K384" s="21">
        <v>3.3248823529411764</v>
      </c>
      <c r="L384" s="6">
        <v>0.27497058823529413</v>
      </c>
      <c r="M384" s="21">
        <v>0.15423529411764705</v>
      </c>
      <c r="N384" s="21">
        <v>30.129588235294111</v>
      </c>
      <c r="O384" s="21">
        <v>3.7794117647058818E-2</v>
      </c>
      <c r="P384" s="21">
        <v>3.6941176470588234E-2</v>
      </c>
      <c r="Q384" s="21">
        <v>6.9457058823529412</v>
      </c>
      <c r="R384" s="21">
        <v>0.24341176470588233</v>
      </c>
      <c r="S384" s="21">
        <v>8.6387352941176463</v>
      </c>
      <c r="T384" s="21">
        <v>0</v>
      </c>
      <c r="U384" s="21">
        <v>0</v>
      </c>
      <c r="V384" s="21">
        <v>51.61247058823529</v>
      </c>
      <c r="W384" s="21">
        <v>4.1000294117647051</v>
      </c>
      <c r="X384" s="21">
        <v>44.509882352941169</v>
      </c>
      <c r="Y384" s="21">
        <v>6.6647058823529406E-2</v>
      </c>
      <c r="Z384" s="21">
        <v>1.5902647058823529</v>
      </c>
      <c r="AA384" s="21">
        <v>0.30470588235294116</v>
      </c>
      <c r="AB384" s="21">
        <v>0.95091176470588223</v>
      </c>
      <c r="AC384" s="21">
        <v>1.8108235294117645</v>
      </c>
      <c r="AD384" s="21">
        <v>1.7882352941176471E-2</v>
      </c>
      <c r="AE384" s="21">
        <v>0.11049999999999999</v>
      </c>
      <c r="AF384" s="21">
        <v>2.1323529411764706E-2</v>
      </c>
      <c r="AG384" s="21">
        <v>8.2176470588235281E-2</v>
      </c>
      <c r="AH384" s="21">
        <v>0.18026470588235291</v>
      </c>
      <c r="AI384" s="21">
        <v>4.8794117647058821E-2</v>
      </c>
      <c r="AJ384" s="21">
        <v>0.69891176470588234</v>
      </c>
    </row>
    <row r="385" spans="1:36" x14ac:dyDescent="0.25">
      <c r="A385" s="17" t="s">
        <v>840</v>
      </c>
      <c r="B385" s="18" t="s">
        <v>841</v>
      </c>
      <c r="C385" s="19" t="s">
        <v>146</v>
      </c>
      <c r="D385" s="20" t="s">
        <v>146</v>
      </c>
      <c r="E385" s="20">
        <v>1</v>
      </c>
      <c r="F385" s="20" t="s">
        <v>744</v>
      </c>
      <c r="G385" s="20" t="s">
        <v>994</v>
      </c>
      <c r="H385" s="5">
        <f t="shared" si="5"/>
        <v>121.88082352941176</v>
      </c>
      <c r="I385" s="21">
        <v>0.14949999999999999</v>
      </c>
      <c r="J385" s="21">
        <v>0.30655882352941177</v>
      </c>
      <c r="K385" s="21">
        <v>3.4865294117647054</v>
      </c>
      <c r="L385" s="6">
        <v>0.31402941176470589</v>
      </c>
      <c r="M385" s="21">
        <v>0.12702941176470586</v>
      </c>
      <c r="N385" s="21">
        <v>25.113911764705879</v>
      </c>
      <c r="O385" s="21">
        <v>1.5617647058823528E-2</v>
      </c>
      <c r="P385" s="21">
        <v>8.2058823529411757E-3</v>
      </c>
      <c r="Q385" s="21">
        <v>7.8670882352941165</v>
      </c>
      <c r="R385" s="21">
        <v>0.16688235294117645</v>
      </c>
      <c r="S385" s="21">
        <v>5.2437352941176467</v>
      </c>
      <c r="T385" s="21">
        <v>0</v>
      </c>
      <c r="U385" s="21">
        <v>0</v>
      </c>
      <c r="V385" s="21">
        <v>36.551323529411761</v>
      </c>
      <c r="W385" s="21">
        <v>2.288205882352941</v>
      </c>
      <c r="X385" s="21">
        <v>35.492147058823527</v>
      </c>
      <c r="Y385" s="21">
        <v>6.4029411764705876E-2</v>
      </c>
      <c r="Z385" s="21">
        <v>1.3642647058823527</v>
      </c>
      <c r="AA385" s="21">
        <v>0.44797058823529406</v>
      </c>
      <c r="AB385" s="21">
        <v>1.1006470588235293</v>
      </c>
      <c r="AC385" s="21">
        <v>0.99299999999999988</v>
      </c>
      <c r="AD385" s="21">
        <v>1.4205882352941176E-2</v>
      </c>
      <c r="AE385" s="21">
        <v>0.10897058823529411</v>
      </c>
      <c r="AF385" s="21">
        <v>2.561764705882353E-2</v>
      </c>
      <c r="AG385" s="21">
        <v>0.19852941176470587</v>
      </c>
      <c r="AH385" s="21">
        <v>7.3382352941176468E-2</v>
      </c>
      <c r="AI385" s="21">
        <v>3.1676470588235292E-2</v>
      </c>
      <c r="AJ385" s="21">
        <v>0.3277647058823529</v>
      </c>
    </row>
    <row r="386" spans="1:36" x14ac:dyDescent="0.25">
      <c r="A386" s="17" t="s">
        <v>842</v>
      </c>
      <c r="B386" s="18" t="s">
        <v>843</v>
      </c>
      <c r="C386" s="19" t="s">
        <v>146</v>
      </c>
      <c r="D386" s="20" t="s">
        <v>149</v>
      </c>
      <c r="E386" s="20">
        <v>1</v>
      </c>
      <c r="F386" s="20" t="s">
        <v>744</v>
      </c>
      <c r="G386" s="20" t="s">
        <v>994</v>
      </c>
      <c r="H386" s="5">
        <f t="shared" ref="H386:H449" si="6">SUM(I386:M386,N386:R386,S386:AJ386)</f>
        <v>160.02097058823529</v>
      </c>
      <c r="I386" s="21">
        <v>0.19308823529411764</v>
      </c>
      <c r="J386" s="21">
        <v>0.27602941176470586</v>
      </c>
      <c r="K386" s="21">
        <v>2.909176470588235</v>
      </c>
      <c r="L386" s="6">
        <v>0.18185294117647058</v>
      </c>
      <c r="M386" s="21">
        <v>0.17549999999999999</v>
      </c>
      <c r="N386" s="21">
        <v>29.517588235294117</v>
      </c>
      <c r="O386" s="21">
        <v>0</v>
      </c>
      <c r="P386" s="21">
        <v>1.5794117647058823E-2</v>
      </c>
      <c r="Q386" s="21">
        <v>5.5174999999999992</v>
      </c>
      <c r="R386" s="21">
        <v>0.32558823529411762</v>
      </c>
      <c r="S386" s="21">
        <v>9.920529411764706</v>
      </c>
      <c r="T386" s="21">
        <v>0</v>
      </c>
      <c r="U386" s="21">
        <v>0</v>
      </c>
      <c r="V386" s="21">
        <v>51.631235294117644</v>
      </c>
      <c r="W386" s="21">
        <v>3.5830588235294116</v>
      </c>
      <c r="X386" s="21">
        <v>48.986999999999995</v>
      </c>
      <c r="Y386" s="21">
        <v>8.6852941176470577E-2</v>
      </c>
      <c r="Z386" s="21">
        <v>2.0650588235294114</v>
      </c>
      <c r="AA386" s="21">
        <v>0.29832352941176471</v>
      </c>
      <c r="AB386" s="21">
        <v>0.98758823529411766</v>
      </c>
      <c r="AC386" s="21">
        <v>1.9042058823529409</v>
      </c>
      <c r="AD386" s="21">
        <v>1.5117647058823527E-2</v>
      </c>
      <c r="AE386" s="21">
        <v>0.11073529411764706</v>
      </c>
      <c r="AF386" s="21">
        <v>2.3676470588235292E-2</v>
      </c>
      <c r="AG386" s="21">
        <v>0.18941176470588234</v>
      </c>
      <c r="AH386" s="21">
        <v>0.20544117647058821</v>
      </c>
      <c r="AI386" s="21">
        <v>5.1588235294117643E-2</v>
      </c>
      <c r="AJ386" s="21">
        <v>0.84902941176470581</v>
      </c>
    </row>
    <row r="387" spans="1:36" x14ac:dyDescent="0.25">
      <c r="A387" s="17" t="s">
        <v>844</v>
      </c>
      <c r="B387" s="18" t="s">
        <v>845</v>
      </c>
      <c r="C387" s="19" t="s">
        <v>146</v>
      </c>
      <c r="D387" s="20" t="s">
        <v>151</v>
      </c>
      <c r="E387" s="20">
        <v>2</v>
      </c>
      <c r="F387" s="20" t="s">
        <v>744</v>
      </c>
      <c r="G387" s="20" t="s">
        <v>994</v>
      </c>
      <c r="H387" s="5">
        <f t="shared" si="6"/>
        <v>187.98970588235292</v>
      </c>
      <c r="I387" s="21">
        <v>0.11297058823529411</v>
      </c>
      <c r="J387" s="21">
        <v>0.2487941176470588</v>
      </c>
      <c r="K387" s="21">
        <v>1.711970588235294</v>
      </c>
      <c r="L387" s="6">
        <v>5.8499999999999996E-2</v>
      </c>
      <c r="M387" s="21">
        <v>0.15864705882352939</v>
      </c>
      <c r="N387" s="21">
        <v>31.97755882352941</v>
      </c>
      <c r="O387" s="21">
        <v>0.39082352941176468</v>
      </c>
      <c r="P387" s="21">
        <v>0.56049999999999989</v>
      </c>
      <c r="Q387" s="21">
        <v>2.8158529411764701</v>
      </c>
      <c r="R387" s="21">
        <v>0.35599999999999998</v>
      </c>
      <c r="S387" s="21">
        <v>12.23670588235294</v>
      </c>
      <c r="T387" s="21">
        <v>0</v>
      </c>
      <c r="U387" s="21">
        <v>2.1117647058823526E-2</v>
      </c>
      <c r="V387" s="21">
        <v>67.578264705882347</v>
      </c>
      <c r="W387" s="21">
        <v>3.8878235294117647</v>
      </c>
      <c r="X387" s="21">
        <v>58.344382352941174</v>
      </c>
      <c r="Y387" s="21">
        <v>0.13388235294117645</v>
      </c>
      <c r="Z387" s="21">
        <v>1.7089117647058825</v>
      </c>
      <c r="AA387" s="21">
        <v>0.66288235294117637</v>
      </c>
      <c r="AB387" s="21">
        <v>1.4023823529411763</v>
      </c>
      <c r="AC387" s="21">
        <v>2.1413823529411764</v>
      </c>
      <c r="AD387" s="21">
        <v>2.5823529411764704E-2</v>
      </c>
      <c r="AE387" s="21">
        <v>0.19438235294117645</v>
      </c>
      <c r="AF387" s="21">
        <v>2.6470588235294114E-2</v>
      </c>
      <c r="AG387" s="21">
        <v>0.22949999999999998</v>
      </c>
      <c r="AH387" s="21">
        <v>0.20844117647058821</v>
      </c>
      <c r="AI387" s="21">
        <v>5.7029411764705884E-2</v>
      </c>
      <c r="AJ387" s="21">
        <v>0.7387058823529411</v>
      </c>
    </row>
    <row r="388" spans="1:36" x14ac:dyDescent="0.25">
      <c r="A388" s="17" t="s">
        <v>846</v>
      </c>
      <c r="B388" s="18" t="s">
        <v>847</v>
      </c>
      <c r="C388" s="19" t="s">
        <v>146</v>
      </c>
      <c r="D388" s="20" t="s">
        <v>153</v>
      </c>
      <c r="E388" s="20">
        <v>2</v>
      </c>
      <c r="F388" s="20" t="s">
        <v>744</v>
      </c>
      <c r="G388" s="20" t="s">
        <v>994</v>
      </c>
      <c r="H388" s="5">
        <f t="shared" si="6"/>
        <v>175.74702941176469</v>
      </c>
      <c r="I388" s="21">
        <v>0.11885294117647058</v>
      </c>
      <c r="J388" s="21">
        <v>0.29023529411764704</v>
      </c>
      <c r="K388" s="21">
        <v>3.2276176470588234</v>
      </c>
      <c r="L388" s="6">
        <v>0.10555882352941175</v>
      </c>
      <c r="M388" s="21">
        <v>0.15017647058823527</v>
      </c>
      <c r="N388" s="21">
        <v>35.089764705882352</v>
      </c>
      <c r="O388" s="21">
        <v>0.33411764705882352</v>
      </c>
      <c r="P388" s="21">
        <v>0.45526470588235296</v>
      </c>
      <c r="Q388" s="21">
        <v>4.6504705882352937</v>
      </c>
      <c r="R388" s="21">
        <v>0.2677647058823529</v>
      </c>
      <c r="S388" s="21">
        <v>13.097794117647057</v>
      </c>
      <c r="T388" s="21">
        <v>2.423529411764706E-2</v>
      </c>
      <c r="U388" s="21">
        <v>4.3529411764705879E-2</v>
      </c>
      <c r="V388" s="21">
        <v>63.86714705882352</v>
      </c>
      <c r="W388" s="21">
        <v>3.5287941176470583</v>
      </c>
      <c r="X388" s="21">
        <v>44.586529411764701</v>
      </c>
      <c r="Y388" s="21">
        <v>7.0470588235294104E-2</v>
      </c>
      <c r="Z388" s="21">
        <v>1.4343823529411763</v>
      </c>
      <c r="AA388" s="21">
        <v>0.53682352941176459</v>
      </c>
      <c r="AB388" s="21">
        <v>1.006</v>
      </c>
      <c r="AC388" s="21">
        <v>1.8390882352941176</v>
      </c>
      <c r="AD388" s="21">
        <v>9.1470588235294109E-3</v>
      </c>
      <c r="AE388" s="21">
        <v>0.14270588235294115</v>
      </c>
      <c r="AF388" s="21">
        <v>2.429411764705882E-2</v>
      </c>
      <c r="AG388" s="21">
        <v>9.6147058823529391E-2</v>
      </c>
      <c r="AH388" s="21">
        <v>0.12720588235294117</v>
      </c>
      <c r="AI388" s="21">
        <v>5.9676470588235289E-2</v>
      </c>
      <c r="AJ388" s="21">
        <v>0.56323529411764706</v>
      </c>
    </row>
    <row r="389" spans="1:36" x14ac:dyDescent="0.25">
      <c r="A389" s="17" t="s">
        <v>848</v>
      </c>
      <c r="B389" s="18" t="s">
        <v>849</v>
      </c>
      <c r="C389" s="19" t="s">
        <v>146</v>
      </c>
      <c r="D389" s="20" t="s">
        <v>155</v>
      </c>
      <c r="E389" s="20">
        <v>2</v>
      </c>
      <c r="F389" s="20" t="s">
        <v>744</v>
      </c>
      <c r="G389" s="20" t="s">
        <v>994</v>
      </c>
      <c r="H389" s="5">
        <f t="shared" si="6"/>
        <v>142.87061764705882</v>
      </c>
      <c r="I389" s="21">
        <v>0.12676470588235292</v>
      </c>
      <c r="J389" s="21">
        <v>0.25902941176470584</v>
      </c>
      <c r="K389" s="21">
        <v>2.3646176470588234</v>
      </c>
      <c r="L389" s="6">
        <v>0.121</v>
      </c>
      <c r="M389" s="21">
        <v>0.12594117647058822</v>
      </c>
      <c r="N389" s="21">
        <v>25.136352941176469</v>
      </c>
      <c r="O389" s="21">
        <v>8.461764705882352E-2</v>
      </c>
      <c r="P389" s="21">
        <v>0.14323529411764704</v>
      </c>
      <c r="Q389" s="21">
        <v>3.5472352941176464</v>
      </c>
      <c r="R389" s="21">
        <v>0.26529411764705879</v>
      </c>
      <c r="S389" s="21">
        <v>10.111735294117647</v>
      </c>
      <c r="T389" s="21">
        <v>0</v>
      </c>
      <c r="U389" s="21">
        <v>0</v>
      </c>
      <c r="V389" s="21">
        <v>49.855088235294112</v>
      </c>
      <c r="W389" s="21">
        <v>3.3910294117647055</v>
      </c>
      <c r="X389" s="21">
        <v>41.66597058823529</v>
      </c>
      <c r="Y389" s="21">
        <v>5.5705882352941168E-2</v>
      </c>
      <c r="Z389" s="21">
        <v>1.2768823529411764</v>
      </c>
      <c r="AA389" s="21">
        <v>0.35388235294117643</v>
      </c>
      <c r="AB389" s="21">
        <v>1.0975882352941175</v>
      </c>
      <c r="AC389" s="21">
        <v>1.6795882352941176</v>
      </c>
      <c r="AD389" s="21">
        <v>1.4176470588235292E-2</v>
      </c>
      <c r="AE389" s="21">
        <v>0.12158823529411764</v>
      </c>
      <c r="AF389" s="21">
        <v>1.5441176470588234E-2</v>
      </c>
      <c r="AG389" s="21">
        <v>0.1108235294117647</v>
      </c>
      <c r="AH389" s="21">
        <v>0.19226470588235292</v>
      </c>
      <c r="AI389" s="21">
        <v>6.0764705882352943E-2</v>
      </c>
      <c r="AJ389" s="21">
        <v>0.69399999999999995</v>
      </c>
    </row>
    <row r="390" spans="1:36" x14ac:dyDescent="0.25">
      <c r="A390" s="17" t="s">
        <v>850</v>
      </c>
      <c r="B390" s="18" t="s">
        <v>851</v>
      </c>
      <c r="C390" s="19" t="s">
        <v>146</v>
      </c>
      <c r="D390" s="20" t="s">
        <v>157</v>
      </c>
      <c r="E390" s="20">
        <v>2</v>
      </c>
      <c r="F390" s="20" t="s">
        <v>744</v>
      </c>
      <c r="G390" s="20" t="s">
        <v>994</v>
      </c>
      <c r="H390" s="5">
        <f t="shared" si="6"/>
        <v>179.79129411764703</v>
      </c>
      <c r="I390" s="21">
        <v>0.20555882352941174</v>
      </c>
      <c r="J390" s="21">
        <v>0.36305882352941171</v>
      </c>
      <c r="K390" s="21">
        <v>4.5307058823529411</v>
      </c>
      <c r="L390" s="6">
        <v>0.37370588235294117</v>
      </c>
      <c r="M390" s="21">
        <v>0.18770588235294117</v>
      </c>
      <c r="N390" s="21">
        <v>37.991470588235288</v>
      </c>
      <c r="O390" s="21">
        <v>0</v>
      </c>
      <c r="P390" s="21">
        <v>2.5058823529411762E-2</v>
      </c>
      <c r="Q390" s="21">
        <v>10.047088235294117</v>
      </c>
      <c r="R390" s="21">
        <v>0.26276470588235296</v>
      </c>
      <c r="S390" s="21">
        <v>8.1540588235294109</v>
      </c>
      <c r="T390" s="21">
        <v>0</v>
      </c>
      <c r="U390" s="21">
        <v>0</v>
      </c>
      <c r="V390" s="21">
        <v>51.947882352941171</v>
      </c>
      <c r="W390" s="21">
        <v>3.5137058823529412</v>
      </c>
      <c r="X390" s="21">
        <v>54.887058823529408</v>
      </c>
      <c r="Y390" s="21">
        <v>0.12349999999999998</v>
      </c>
      <c r="Z390" s="21">
        <v>2.4501176470588235</v>
      </c>
      <c r="AA390" s="21">
        <v>0.62170588235294111</v>
      </c>
      <c r="AB390" s="21">
        <v>1.5554411764705882</v>
      </c>
      <c r="AC390" s="21">
        <v>1.3492058823529411</v>
      </c>
      <c r="AD390" s="21">
        <v>2.4176470588235292E-2</v>
      </c>
      <c r="AE390" s="21">
        <v>0.14561764705882352</v>
      </c>
      <c r="AF390" s="21">
        <v>2.5999999999999999E-2</v>
      </c>
      <c r="AG390" s="21">
        <v>0.31264705882352939</v>
      </c>
      <c r="AH390" s="21">
        <v>0.11291176470588235</v>
      </c>
      <c r="AI390" s="21">
        <v>5.2852941176470582E-2</v>
      </c>
      <c r="AJ390" s="21">
        <v>0.5272941176470588</v>
      </c>
    </row>
    <row r="391" spans="1:36" x14ac:dyDescent="0.25">
      <c r="A391" s="17" t="s">
        <v>852</v>
      </c>
      <c r="B391" s="18" t="s">
        <v>853</v>
      </c>
      <c r="C391" s="19" t="s">
        <v>146</v>
      </c>
      <c r="D391" s="20" t="s">
        <v>159</v>
      </c>
      <c r="E391" s="20">
        <v>2</v>
      </c>
      <c r="F391" s="20" t="s">
        <v>744</v>
      </c>
      <c r="G391" s="20" t="s">
        <v>994</v>
      </c>
      <c r="H391" s="5">
        <f t="shared" si="6"/>
        <v>106.18291176470588</v>
      </c>
      <c r="I391" s="21">
        <v>0.14708823529411763</v>
      </c>
      <c r="J391" s="21">
        <v>0.25688235294117645</v>
      </c>
      <c r="K391" s="21">
        <v>2.3465588235294117</v>
      </c>
      <c r="L391" s="6">
        <v>0.22038235294117645</v>
      </c>
      <c r="M391" s="21">
        <v>0.11649999999999999</v>
      </c>
      <c r="N391" s="21">
        <v>20.055705882352939</v>
      </c>
      <c r="O391" s="21">
        <v>4.3411764705882351E-2</v>
      </c>
      <c r="P391" s="21">
        <v>5.9176470588235289E-2</v>
      </c>
      <c r="Q391" s="21">
        <v>4.990823529411764</v>
      </c>
      <c r="R391" s="21">
        <v>0.1817941176470588</v>
      </c>
      <c r="S391" s="21">
        <v>5.9027941176470575</v>
      </c>
      <c r="T391" s="21">
        <v>0</v>
      </c>
      <c r="U391" s="21">
        <v>0</v>
      </c>
      <c r="V391" s="21">
        <v>34.641882352941174</v>
      </c>
      <c r="W391" s="21">
        <v>2.6076764705882352</v>
      </c>
      <c r="X391" s="21">
        <v>30.530735294117644</v>
      </c>
      <c r="Y391" s="21">
        <v>5.3823529411764701E-2</v>
      </c>
      <c r="Z391" s="21">
        <v>1.3192941176470587</v>
      </c>
      <c r="AA391" s="21">
        <v>0.1852941176470588</v>
      </c>
      <c r="AB391" s="21">
        <v>0.61858823529411766</v>
      </c>
      <c r="AC391" s="21">
        <v>1.1006764705882353</v>
      </c>
      <c r="AD391" s="21">
        <v>6.5882352941176456E-3</v>
      </c>
      <c r="AE391" s="21">
        <v>6.517647058823528E-2</v>
      </c>
      <c r="AF391" s="21">
        <v>1.7470588235294116E-2</v>
      </c>
      <c r="AG391" s="21">
        <v>0.12173529411764705</v>
      </c>
      <c r="AH391" s="21">
        <v>0.10164705882352941</v>
      </c>
      <c r="AI391" s="21">
        <v>3.0588235294117642E-2</v>
      </c>
      <c r="AJ391" s="21">
        <v>0.46061764705882347</v>
      </c>
    </row>
    <row r="392" spans="1:36" x14ac:dyDescent="0.25">
      <c r="A392" s="17" t="s">
        <v>854</v>
      </c>
      <c r="B392" s="18" t="s">
        <v>855</v>
      </c>
      <c r="C392" s="19" t="s">
        <v>146</v>
      </c>
      <c r="D392" s="20" t="s">
        <v>163</v>
      </c>
      <c r="E392" s="20">
        <v>6</v>
      </c>
      <c r="F392" s="20" t="s">
        <v>744</v>
      </c>
      <c r="G392" s="20" t="s">
        <v>994</v>
      </c>
      <c r="H392" s="5">
        <f t="shared" si="6"/>
        <v>129.66226470588234</v>
      </c>
      <c r="I392" s="21">
        <v>7.7323529411764708E-2</v>
      </c>
      <c r="J392" s="21">
        <v>0.21938235294117647</v>
      </c>
      <c r="K392" s="21">
        <v>1.7403235294117645</v>
      </c>
      <c r="L392" s="6">
        <v>5.7294117647058822E-2</v>
      </c>
      <c r="M392" s="21">
        <v>0.10949999999999999</v>
      </c>
      <c r="N392" s="21">
        <v>21.284647058823531</v>
      </c>
      <c r="O392" s="21">
        <v>0.38279411764705878</v>
      </c>
      <c r="P392" s="21">
        <v>0.42408823529411765</v>
      </c>
      <c r="Q392" s="21">
        <v>2.3323529411764703</v>
      </c>
      <c r="R392" s="21">
        <v>0.21041176470588235</v>
      </c>
      <c r="S392" s="21">
        <v>9.0468529411764695</v>
      </c>
      <c r="T392" s="21">
        <v>2.9117647058823529E-2</v>
      </c>
      <c r="U392" s="21">
        <v>6.1176470588235284E-2</v>
      </c>
      <c r="V392" s="21">
        <v>52.16282352941176</v>
      </c>
      <c r="W392" s="21">
        <v>2.5810294117647059</v>
      </c>
      <c r="X392" s="21">
        <v>34.05897058823529</v>
      </c>
      <c r="Y392" s="21">
        <v>5.776470588235294E-2</v>
      </c>
      <c r="Z392" s="21">
        <v>0.75638235294117639</v>
      </c>
      <c r="AA392" s="21">
        <v>0.41647058823529409</v>
      </c>
      <c r="AB392" s="21">
        <v>0.79238235294117632</v>
      </c>
      <c r="AC392" s="21">
        <v>1.8823823529411763</v>
      </c>
      <c r="AD392" s="21">
        <v>5.058823529411764E-3</v>
      </c>
      <c r="AE392" s="21">
        <v>0.14423529411764704</v>
      </c>
      <c r="AF392" s="21">
        <v>2.6147058823529412E-2</v>
      </c>
      <c r="AG392" s="21">
        <v>7.2294117647058814E-2</v>
      </c>
      <c r="AH392" s="21">
        <v>0.11370588235294117</v>
      </c>
      <c r="AI392" s="21">
        <v>7.0529411764705882E-2</v>
      </c>
      <c r="AJ392" s="21">
        <v>0.54682352941176471</v>
      </c>
    </row>
    <row r="393" spans="1:36" x14ac:dyDescent="0.25">
      <c r="A393" s="17" t="s">
        <v>856</v>
      </c>
      <c r="B393" s="18" t="s">
        <v>857</v>
      </c>
      <c r="C393" s="19" t="s">
        <v>146</v>
      </c>
      <c r="D393" s="20" t="s">
        <v>165</v>
      </c>
      <c r="E393" s="20">
        <v>6</v>
      </c>
      <c r="F393" s="20" t="s">
        <v>744</v>
      </c>
      <c r="G393" s="20" t="s">
        <v>994</v>
      </c>
      <c r="H393" s="5">
        <f t="shared" si="6"/>
        <v>145.19067647058824</v>
      </c>
      <c r="I393" s="21">
        <v>7.7676470588235291E-2</v>
      </c>
      <c r="J393" s="21">
        <v>0.22838235294117645</v>
      </c>
      <c r="K393" s="21">
        <v>1.9600882352941174</v>
      </c>
      <c r="L393" s="6">
        <v>9.2852941176470583E-2</v>
      </c>
      <c r="M393" s="21">
        <v>0.16002941176470586</v>
      </c>
      <c r="N393" s="21">
        <v>27.305058823529411</v>
      </c>
      <c r="O393" s="21">
        <v>0.16988235294117646</v>
      </c>
      <c r="P393" s="21">
        <v>0.27844117647058825</v>
      </c>
      <c r="Q393" s="21">
        <v>3.4327058823529408</v>
      </c>
      <c r="R393" s="21">
        <v>0.26600000000000001</v>
      </c>
      <c r="S393" s="21">
        <v>9.132411764705882</v>
      </c>
      <c r="T393" s="21">
        <v>7.8529411764705886E-3</v>
      </c>
      <c r="U393" s="21">
        <v>2.7970588235294115E-2</v>
      </c>
      <c r="V393" s="21">
        <v>50.952705882352937</v>
      </c>
      <c r="W393" s="21">
        <v>3.2566764705882352</v>
      </c>
      <c r="X393" s="21">
        <v>42.729205882352936</v>
      </c>
      <c r="Y393" s="21">
        <v>8.3205882352941171E-2</v>
      </c>
      <c r="Z393" s="21">
        <v>1.2286176470588235</v>
      </c>
      <c r="AA393" s="21">
        <v>0.31838235294117645</v>
      </c>
      <c r="AB393" s="21">
        <v>0.88761764705882351</v>
      </c>
      <c r="AC393" s="21">
        <v>1.5756176470588235</v>
      </c>
      <c r="AD393" s="21">
        <v>1.2352941176470586E-2</v>
      </c>
      <c r="AE393" s="21">
        <v>9.829411764705881E-2</v>
      </c>
      <c r="AF393" s="21">
        <v>2.3941176470588233E-2</v>
      </c>
      <c r="AG393" s="21">
        <v>7.2382352941176467E-2</v>
      </c>
      <c r="AH393" s="21">
        <v>0.15582352941176469</v>
      </c>
      <c r="AI393" s="21">
        <v>4.9088235294117641E-2</v>
      </c>
      <c r="AJ393" s="21">
        <v>0.60741176470588232</v>
      </c>
    </row>
    <row r="394" spans="1:36" x14ac:dyDescent="0.25">
      <c r="A394" s="17" t="s">
        <v>858</v>
      </c>
      <c r="B394" s="18" t="s">
        <v>859</v>
      </c>
      <c r="C394" s="19" t="s">
        <v>146</v>
      </c>
      <c r="D394" s="20" t="s">
        <v>161</v>
      </c>
      <c r="E394" s="20">
        <v>6</v>
      </c>
      <c r="F394" s="20" t="s">
        <v>744</v>
      </c>
      <c r="G394" s="20" t="s">
        <v>994</v>
      </c>
      <c r="H394" s="5">
        <f t="shared" si="6"/>
        <v>165.99905882352937</v>
      </c>
      <c r="I394" s="21">
        <v>9.1882352941176471E-2</v>
      </c>
      <c r="J394" s="21">
        <v>0.30229411764705877</v>
      </c>
      <c r="K394" s="21">
        <v>3.5882647058823527</v>
      </c>
      <c r="L394" s="6">
        <v>0.17526470588235291</v>
      </c>
      <c r="M394" s="21">
        <v>0.15738235294117647</v>
      </c>
      <c r="N394" s="21">
        <v>31.771529411764703</v>
      </c>
      <c r="O394" s="21">
        <v>0.13011764705882353</v>
      </c>
      <c r="P394" s="21">
        <v>0.23538235294117646</v>
      </c>
      <c r="Q394" s="21">
        <v>5.2958529411764701</v>
      </c>
      <c r="R394" s="21">
        <v>0.25655882352941173</v>
      </c>
      <c r="S394" s="21">
        <v>9.7571764705882345</v>
      </c>
      <c r="T394" s="21">
        <v>0</v>
      </c>
      <c r="U394" s="21">
        <v>4.1529411764705884E-2</v>
      </c>
      <c r="V394" s="21">
        <v>59.609294117647053</v>
      </c>
      <c r="W394" s="21">
        <v>4.1134411764705883</v>
      </c>
      <c r="X394" s="21">
        <v>44.847735294117641</v>
      </c>
      <c r="Y394" s="21">
        <v>4.6470588235294118E-2</v>
      </c>
      <c r="Z394" s="21">
        <v>1.1503235294117646</v>
      </c>
      <c r="AA394" s="21">
        <v>0.47705882352941176</v>
      </c>
      <c r="AB394" s="21">
        <v>1.3519999999999999</v>
      </c>
      <c r="AC394" s="21">
        <v>1.5097647058823529</v>
      </c>
      <c r="AD394" s="21">
        <v>2.8235294117647056E-3</v>
      </c>
      <c r="AE394" s="21">
        <v>0.14194117647058821</v>
      </c>
      <c r="AF394" s="21">
        <v>9.499999999999998E-3</v>
      </c>
      <c r="AG394" s="21">
        <v>0.11217647058823528</v>
      </c>
      <c r="AH394" s="21">
        <v>0.1817941176470588</v>
      </c>
      <c r="AI394" s="21">
        <v>7.9470588235294112E-2</v>
      </c>
      <c r="AJ394" s="21">
        <v>0.56202941176470589</v>
      </c>
    </row>
    <row r="395" spans="1:36" x14ac:dyDescent="0.25">
      <c r="A395" s="17" t="s">
        <v>860</v>
      </c>
      <c r="B395" s="18" t="s">
        <v>861</v>
      </c>
      <c r="C395" s="19" t="s">
        <v>146</v>
      </c>
      <c r="D395" s="20" t="s">
        <v>167</v>
      </c>
      <c r="E395" s="20">
        <v>6</v>
      </c>
      <c r="F395" s="20" t="s">
        <v>744</v>
      </c>
      <c r="G395" s="20" t="s">
        <v>994</v>
      </c>
      <c r="H395" s="5">
        <f t="shared" si="6"/>
        <v>201.89011764705876</v>
      </c>
      <c r="I395" s="21">
        <v>0.14191176470588235</v>
      </c>
      <c r="J395" s="21">
        <v>0.52314705882352941</v>
      </c>
      <c r="K395" s="21">
        <v>5.5279999999999996</v>
      </c>
      <c r="L395" s="6">
        <v>0.5963235294117647</v>
      </c>
      <c r="M395" s="21">
        <v>0.20285294117647057</v>
      </c>
      <c r="N395" s="21">
        <v>41.643117647058816</v>
      </c>
      <c r="O395" s="21">
        <v>4.3294117647058823E-2</v>
      </c>
      <c r="P395" s="21">
        <v>9.9617647058823519E-2</v>
      </c>
      <c r="Q395" s="21">
        <v>11.945529411764706</v>
      </c>
      <c r="R395" s="21">
        <v>0.31358823529411767</v>
      </c>
      <c r="S395" s="21">
        <v>9.3648235294117637</v>
      </c>
      <c r="T395" s="21">
        <v>0</v>
      </c>
      <c r="U395" s="21">
        <v>1.679411764705882E-2</v>
      </c>
      <c r="V395" s="21">
        <v>63.167941176470585</v>
      </c>
      <c r="W395" s="21">
        <v>4.5717941176470589</v>
      </c>
      <c r="X395" s="21">
        <v>56.033205882352938</v>
      </c>
      <c r="Y395" s="21">
        <v>9.1911764705882346E-2</v>
      </c>
      <c r="Z395" s="21">
        <v>2.7504411764705883</v>
      </c>
      <c r="AA395" s="21">
        <v>0.36282352941176466</v>
      </c>
      <c r="AB395" s="21">
        <v>1.1113529411764704</v>
      </c>
      <c r="AC395" s="21">
        <v>1.9104117647058823</v>
      </c>
      <c r="AD395" s="21">
        <v>1.2058823529411764E-2</v>
      </c>
      <c r="AE395" s="21">
        <v>0.11741176470588234</v>
      </c>
      <c r="AF395" s="21">
        <v>4.2029411764705878E-2</v>
      </c>
      <c r="AG395" s="21">
        <v>0.17258823529411765</v>
      </c>
      <c r="AH395" s="21">
        <v>0.18326470588235291</v>
      </c>
      <c r="AI395" s="21">
        <v>5.7147058823529405E-2</v>
      </c>
      <c r="AJ395" s="21">
        <v>0.88673529411764695</v>
      </c>
    </row>
    <row r="396" spans="1:36" x14ac:dyDescent="0.25">
      <c r="A396" s="17" t="s">
        <v>862</v>
      </c>
      <c r="B396" s="18" t="s">
        <v>863</v>
      </c>
      <c r="C396" s="19" t="s">
        <v>146</v>
      </c>
      <c r="D396" s="20" t="s">
        <v>169</v>
      </c>
      <c r="E396" s="20">
        <v>6</v>
      </c>
      <c r="F396" s="20" t="s">
        <v>744</v>
      </c>
      <c r="G396" s="20" t="s">
        <v>994</v>
      </c>
      <c r="H396" s="5">
        <f t="shared" si="6"/>
        <v>181.88470588235293</v>
      </c>
      <c r="I396" s="21">
        <v>0.1343235294117647</v>
      </c>
      <c r="J396" s="21">
        <v>0.46252941176470586</v>
      </c>
      <c r="K396" s="21">
        <v>4.160117647058823</v>
      </c>
      <c r="L396" s="6">
        <v>0.36091176470588232</v>
      </c>
      <c r="M396" s="21">
        <v>0.21308823529411763</v>
      </c>
      <c r="N396" s="21">
        <v>37.241235294117644</v>
      </c>
      <c r="O396" s="21">
        <v>1.3823529411764705E-2</v>
      </c>
      <c r="P396" s="21">
        <v>0</v>
      </c>
      <c r="Q396" s="21">
        <v>8.0041764705882343</v>
      </c>
      <c r="R396" s="21">
        <v>0.34429411764705881</v>
      </c>
      <c r="S396" s="21">
        <v>10.404735294117646</v>
      </c>
      <c r="T396" s="21">
        <v>0</v>
      </c>
      <c r="U396" s="21">
        <v>0</v>
      </c>
      <c r="V396" s="21">
        <v>55.169764705882343</v>
      </c>
      <c r="W396" s="21">
        <v>3.6260882352941173</v>
      </c>
      <c r="X396" s="21">
        <v>54.358588235294107</v>
      </c>
      <c r="Y396" s="21">
        <v>9.1911764705882346E-2</v>
      </c>
      <c r="Z396" s="21">
        <v>2.6822352941176466</v>
      </c>
      <c r="AA396" s="21">
        <v>0.33570588235294119</v>
      </c>
      <c r="AB396" s="21">
        <v>1.1210294117647057</v>
      </c>
      <c r="AC396" s="21">
        <v>1.782941176470588</v>
      </c>
      <c r="AD396" s="21">
        <v>1.6647058823529411E-2</v>
      </c>
      <c r="AE396" s="21">
        <v>0.11344117647058823</v>
      </c>
      <c r="AF396" s="21">
        <v>3.8117647058823527E-2</v>
      </c>
      <c r="AG396" s="21">
        <v>0.18176470588235294</v>
      </c>
      <c r="AH396" s="21">
        <v>0.18611764705882353</v>
      </c>
      <c r="AI396" s="21">
        <v>4.8470588235294119E-2</v>
      </c>
      <c r="AJ396" s="21">
        <v>0.79264705882352937</v>
      </c>
    </row>
    <row r="397" spans="1:36" x14ac:dyDescent="0.25">
      <c r="A397" s="17" t="s">
        <v>864</v>
      </c>
      <c r="B397" s="18" t="s">
        <v>865</v>
      </c>
      <c r="C397" s="19" t="s">
        <v>146</v>
      </c>
      <c r="D397" s="20" t="s">
        <v>141</v>
      </c>
      <c r="E397" s="20">
        <v>0</v>
      </c>
      <c r="F397" s="20" t="s">
        <v>775</v>
      </c>
      <c r="G397" s="20" t="s">
        <v>994</v>
      </c>
      <c r="H397" s="5">
        <f t="shared" si="6"/>
        <v>296.92158823529417</v>
      </c>
      <c r="I397" s="21">
        <v>0.16302941176470587</v>
      </c>
      <c r="J397" s="21">
        <v>0.4267058823529411</v>
      </c>
      <c r="K397" s="21">
        <v>5.0049999999999999</v>
      </c>
      <c r="L397" s="6">
        <v>0.22888235294117645</v>
      </c>
      <c r="M397" s="21">
        <v>0.375235294117647</v>
      </c>
      <c r="N397" s="21">
        <v>62.581205882352933</v>
      </c>
      <c r="O397" s="21">
        <v>0</v>
      </c>
      <c r="P397" s="21">
        <v>0</v>
      </c>
      <c r="Q397" s="21">
        <v>14.097264705882353</v>
      </c>
      <c r="R397" s="21">
        <v>0.54132352941176465</v>
      </c>
      <c r="S397" s="21">
        <v>15.876205882352942</v>
      </c>
      <c r="T397" s="21">
        <v>0</v>
      </c>
      <c r="U397" s="21">
        <v>0</v>
      </c>
      <c r="V397" s="21">
        <v>95.359588235294112</v>
      </c>
      <c r="W397" s="21">
        <v>8.0636470588235287</v>
      </c>
      <c r="X397" s="21">
        <v>85.951205882352937</v>
      </c>
      <c r="Y397" s="21">
        <v>0.25532352941176467</v>
      </c>
      <c r="Z397" s="21">
        <v>4.3986764705882351</v>
      </c>
      <c r="AA397" s="21">
        <v>0.25879411764705879</v>
      </c>
      <c r="AB397" s="21">
        <v>1.7201470588235293</v>
      </c>
      <c r="AC397" s="21">
        <v>1.0047058823529411</v>
      </c>
      <c r="AD397" s="21">
        <v>1.4676470588235293E-2</v>
      </c>
      <c r="AE397" s="21">
        <v>6.991176470588234E-2</v>
      </c>
      <c r="AF397" s="21">
        <v>3.1823529411764702E-2</v>
      </c>
      <c r="AG397" s="21">
        <v>0.14452941176470588</v>
      </c>
      <c r="AH397" s="21">
        <v>9.3852941176470583E-2</v>
      </c>
      <c r="AI397" s="21">
        <v>5.5058823529411764E-2</v>
      </c>
      <c r="AJ397" s="21">
        <v>0.20479411764705879</v>
      </c>
    </row>
    <row r="398" spans="1:36" x14ac:dyDescent="0.25">
      <c r="A398" s="17" t="s">
        <v>866</v>
      </c>
      <c r="B398" s="18" t="s">
        <v>867</v>
      </c>
      <c r="C398" s="19" t="s">
        <v>146</v>
      </c>
      <c r="D398" s="20" t="s">
        <v>143</v>
      </c>
      <c r="E398" s="20">
        <v>1</v>
      </c>
      <c r="F398" s="20" t="s">
        <v>775</v>
      </c>
      <c r="G398" s="20" t="s">
        <v>994</v>
      </c>
      <c r="H398" s="5">
        <f t="shared" si="6"/>
        <v>244.36264705882354</v>
      </c>
      <c r="I398" s="21">
        <v>0.20997058823529408</v>
      </c>
      <c r="J398" s="21">
        <v>0.41747058823529409</v>
      </c>
      <c r="K398" s="21">
        <v>4.4823529411764707</v>
      </c>
      <c r="L398" s="6">
        <v>0.23532352941176468</v>
      </c>
      <c r="M398" s="21">
        <v>0.22897058823529412</v>
      </c>
      <c r="N398" s="21">
        <v>54.619117647058815</v>
      </c>
      <c r="O398" s="21">
        <v>0</v>
      </c>
      <c r="P398" s="21">
        <v>0</v>
      </c>
      <c r="Q398" s="21">
        <v>14.656588235294118</v>
      </c>
      <c r="R398" s="21">
        <v>0.32132352941176467</v>
      </c>
      <c r="S398" s="21">
        <v>15.359411764705881</v>
      </c>
      <c r="T398" s="21">
        <v>0</v>
      </c>
      <c r="U398" s="21">
        <v>0</v>
      </c>
      <c r="V398" s="21">
        <v>79.918558823529409</v>
      </c>
      <c r="W398" s="21">
        <v>5.7782058823529407</v>
      </c>
      <c r="X398" s="21">
        <v>62.084411764705877</v>
      </c>
      <c r="Y398" s="21">
        <v>0.15908823529411764</v>
      </c>
      <c r="Z398" s="21">
        <v>3.3967647058823527</v>
      </c>
      <c r="AA398" s="21">
        <v>0.24738235294117647</v>
      </c>
      <c r="AB398" s="21">
        <v>1.2768529411764706</v>
      </c>
      <c r="AC398" s="21">
        <v>0.55317647058823527</v>
      </c>
      <c r="AD398" s="21">
        <v>1.6323529411764705E-2</v>
      </c>
      <c r="AE398" s="21">
        <v>5.5617647058823522E-2</v>
      </c>
      <c r="AF398" s="21">
        <v>2.0588235294117647E-2</v>
      </c>
      <c r="AG398" s="21">
        <v>0.12249999999999998</v>
      </c>
      <c r="AH398" s="21">
        <v>6.8441176470588228E-2</v>
      </c>
      <c r="AI398" s="21">
        <v>3.9735294117647056E-2</v>
      </c>
      <c r="AJ398" s="21">
        <v>9.4470588235294112E-2</v>
      </c>
    </row>
    <row r="399" spans="1:36" x14ac:dyDescent="0.25">
      <c r="A399" s="17" t="s">
        <v>868</v>
      </c>
      <c r="B399" s="18" t="s">
        <v>869</v>
      </c>
      <c r="C399" s="19" t="s">
        <v>146</v>
      </c>
      <c r="D399" s="20" t="s">
        <v>145</v>
      </c>
      <c r="E399" s="20">
        <v>1</v>
      </c>
      <c r="F399" s="20" t="s">
        <v>775</v>
      </c>
      <c r="G399" s="20" t="s">
        <v>994</v>
      </c>
      <c r="H399" s="5">
        <f t="shared" si="6"/>
        <v>271.28558823529414</v>
      </c>
      <c r="I399" s="21">
        <v>0.18049999999999999</v>
      </c>
      <c r="J399" s="21">
        <v>0.45267647058823524</v>
      </c>
      <c r="K399" s="21">
        <v>4.9648235294117642</v>
      </c>
      <c r="L399" s="6">
        <v>0.29370588235294115</v>
      </c>
      <c r="M399" s="21">
        <v>0.29664705882352943</v>
      </c>
      <c r="N399" s="21">
        <v>54.162882352941168</v>
      </c>
      <c r="O399" s="21">
        <v>3.529411764705882E-4</v>
      </c>
      <c r="P399" s="21">
        <v>0</v>
      </c>
      <c r="Q399" s="21">
        <v>15.362941176470587</v>
      </c>
      <c r="R399" s="21">
        <v>0.43817647058823528</v>
      </c>
      <c r="S399" s="21">
        <v>14.034647058823527</v>
      </c>
      <c r="T399" s="21">
        <v>0</v>
      </c>
      <c r="U399" s="21">
        <v>0</v>
      </c>
      <c r="V399" s="21">
        <v>92.845941176470589</v>
      </c>
      <c r="W399" s="21">
        <v>7.6639411764705878</v>
      </c>
      <c r="X399" s="21">
        <v>73.555852941176468</v>
      </c>
      <c r="Y399" s="21">
        <v>0.24720588235294116</v>
      </c>
      <c r="Z399" s="21">
        <v>3.9109999999999996</v>
      </c>
      <c r="AA399" s="21">
        <v>0.18602941176470586</v>
      </c>
      <c r="AB399" s="21">
        <v>1.2574999999999998</v>
      </c>
      <c r="AC399" s="21">
        <v>0.90370588235294103</v>
      </c>
      <c r="AD399" s="21">
        <v>1.2176470588235292E-2</v>
      </c>
      <c r="AE399" s="21">
        <v>4.4352941176470581E-2</v>
      </c>
      <c r="AF399" s="21">
        <v>2.6205882352941173E-2</v>
      </c>
      <c r="AG399" s="21">
        <v>0.11417647058823528</v>
      </c>
      <c r="AH399" s="21">
        <v>9.4735294117647056E-2</v>
      </c>
      <c r="AI399" s="21">
        <v>4.53235294117647E-2</v>
      </c>
      <c r="AJ399" s="21">
        <v>0.19008823529411764</v>
      </c>
    </row>
    <row r="400" spans="1:36" x14ac:dyDescent="0.25">
      <c r="A400" s="17" t="s">
        <v>870</v>
      </c>
      <c r="B400" s="18" t="s">
        <v>871</v>
      </c>
      <c r="C400" s="19" t="s">
        <v>146</v>
      </c>
      <c r="D400" s="20" t="s">
        <v>146</v>
      </c>
      <c r="E400" s="20">
        <v>1</v>
      </c>
      <c r="F400" s="20" t="s">
        <v>775</v>
      </c>
      <c r="G400" s="20" t="s">
        <v>994</v>
      </c>
      <c r="H400" s="5">
        <f t="shared" si="6"/>
        <v>50.456676470588228</v>
      </c>
      <c r="I400" s="21">
        <v>0.18094117647058822</v>
      </c>
      <c r="J400" s="21">
        <v>0.29982352941176471</v>
      </c>
      <c r="K400" s="21">
        <v>1.02</v>
      </c>
      <c r="L400" s="6">
        <v>3.6088235294117643E-2</v>
      </c>
      <c r="M400" s="21">
        <v>0.11117647058823528</v>
      </c>
      <c r="N400" s="21">
        <v>10.34635294117647</v>
      </c>
      <c r="O400" s="21">
        <v>1.0382352941176471E-2</v>
      </c>
      <c r="P400" s="21">
        <v>0</v>
      </c>
      <c r="Q400" s="21">
        <v>1.5258823529411765</v>
      </c>
      <c r="R400" s="21">
        <v>0.1461764705882353</v>
      </c>
      <c r="S400" s="21">
        <v>2.5868529411764705</v>
      </c>
      <c r="T400" s="21">
        <v>0</v>
      </c>
      <c r="U400" s="21">
        <v>0</v>
      </c>
      <c r="V400" s="21">
        <v>13.702735294117645</v>
      </c>
      <c r="W400" s="21">
        <v>0.95773529411764691</v>
      </c>
      <c r="X400" s="21">
        <v>17.950441176470587</v>
      </c>
      <c r="Y400" s="21">
        <v>4.6441176470588229E-2</v>
      </c>
      <c r="Z400" s="21">
        <v>0.70505882352941163</v>
      </c>
      <c r="AA400" s="21">
        <v>6.6235294117647045E-2</v>
      </c>
      <c r="AB400" s="21">
        <v>0.42594117647058821</v>
      </c>
      <c r="AC400" s="21">
        <v>0.17055882352941176</v>
      </c>
      <c r="AD400" s="21">
        <v>1.6176470588235294E-3</v>
      </c>
      <c r="AE400" s="21">
        <v>1.5911764705882351E-2</v>
      </c>
      <c r="AF400" s="21">
        <v>0</v>
      </c>
      <c r="AG400" s="21">
        <v>7.355882352941176E-2</v>
      </c>
      <c r="AH400" s="21">
        <v>2.7117647058823531E-2</v>
      </c>
      <c r="AI400" s="21">
        <v>1.288235294117647E-2</v>
      </c>
      <c r="AJ400" s="21">
        <v>3.6764705882352942E-2</v>
      </c>
    </row>
    <row r="401" spans="1:36" x14ac:dyDescent="0.25">
      <c r="A401" s="17" t="s">
        <v>872</v>
      </c>
      <c r="B401" s="18" t="s">
        <v>873</v>
      </c>
      <c r="C401" s="19" t="s">
        <v>146</v>
      </c>
      <c r="D401" s="20" t="s">
        <v>149</v>
      </c>
      <c r="E401" s="20">
        <v>1</v>
      </c>
      <c r="F401" s="20" t="s">
        <v>775</v>
      </c>
      <c r="G401" s="20" t="s">
        <v>994</v>
      </c>
      <c r="H401" s="5">
        <f t="shared" si="6"/>
        <v>156.37982352941168</v>
      </c>
      <c r="I401" s="21">
        <v>0.25979411764705884</v>
      </c>
      <c r="J401" s="21">
        <v>0.35538235294117648</v>
      </c>
      <c r="K401" s="21">
        <v>3.0248529411764706</v>
      </c>
      <c r="L401" s="6">
        <v>0.15205882352941177</v>
      </c>
      <c r="M401" s="21">
        <v>0.16811764705882351</v>
      </c>
      <c r="N401" s="21">
        <v>31.886117647058818</v>
      </c>
      <c r="O401" s="21">
        <v>0</v>
      </c>
      <c r="P401" s="21">
        <v>0</v>
      </c>
      <c r="Q401" s="21">
        <v>6.9841470588235293</v>
      </c>
      <c r="R401" s="21">
        <v>0.25432352941176473</v>
      </c>
      <c r="S401" s="21">
        <v>9.0717941176470589</v>
      </c>
      <c r="T401" s="21">
        <v>0</v>
      </c>
      <c r="U401" s="21">
        <v>0</v>
      </c>
      <c r="V401" s="21">
        <v>54.047499999999992</v>
      </c>
      <c r="W401" s="21">
        <v>3.6917058823529407</v>
      </c>
      <c r="X401" s="21">
        <v>42.6295294117647</v>
      </c>
      <c r="Y401" s="21">
        <v>0.13235294117647056</v>
      </c>
      <c r="Z401" s="21">
        <v>1.9451176470588234</v>
      </c>
      <c r="AA401" s="21">
        <v>0.13838235294117646</v>
      </c>
      <c r="AB401" s="21">
        <v>0.75382352941176456</v>
      </c>
      <c r="AC401" s="21">
        <v>0.5498235294117646</v>
      </c>
      <c r="AD401" s="21">
        <v>5.2647058823529404E-3</v>
      </c>
      <c r="AE401" s="21">
        <v>3.5088235294117642E-2</v>
      </c>
      <c r="AF401" s="21">
        <v>1.3088235294117645E-2</v>
      </c>
      <c r="AG401" s="21">
        <v>4.7147058823529403E-2</v>
      </c>
      <c r="AH401" s="21">
        <v>6.3823529411764696E-2</v>
      </c>
      <c r="AI401" s="21">
        <v>3.5470588235294115E-2</v>
      </c>
      <c r="AJ401" s="21">
        <v>0.13511764705882354</v>
      </c>
    </row>
    <row r="402" spans="1:36" x14ac:dyDescent="0.25">
      <c r="A402" s="17" t="s">
        <v>874</v>
      </c>
      <c r="B402" s="18" t="s">
        <v>875</v>
      </c>
      <c r="C402" s="19" t="s">
        <v>146</v>
      </c>
      <c r="D402" s="20" t="s">
        <v>151</v>
      </c>
      <c r="E402" s="20">
        <v>2</v>
      </c>
      <c r="F402" s="20" t="s">
        <v>775</v>
      </c>
      <c r="G402" s="20" t="s">
        <v>994</v>
      </c>
      <c r="H402" s="5">
        <f t="shared" si="6"/>
        <v>161.00782352941175</v>
      </c>
      <c r="I402" s="21">
        <v>0.15502941176470586</v>
      </c>
      <c r="J402" s="21">
        <v>0.30594117647058822</v>
      </c>
      <c r="K402" s="21">
        <v>2.4724705882352942</v>
      </c>
      <c r="L402" s="6">
        <v>9.2058823529411762E-2</v>
      </c>
      <c r="M402" s="21">
        <v>0.16926470588235293</v>
      </c>
      <c r="N402" s="21">
        <v>31.151117647058818</v>
      </c>
      <c r="O402" s="21">
        <v>0</v>
      </c>
      <c r="P402" s="21">
        <v>0</v>
      </c>
      <c r="Q402" s="21">
        <v>5.1673235294117648</v>
      </c>
      <c r="R402" s="21">
        <v>0.27794117647058819</v>
      </c>
      <c r="S402" s="21">
        <v>10.436294117647058</v>
      </c>
      <c r="T402" s="21">
        <v>0</v>
      </c>
      <c r="U402" s="21">
        <v>0</v>
      </c>
      <c r="V402" s="21">
        <v>55.762205882352937</v>
      </c>
      <c r="W402" s="21">
        <v>3.8783529411764706</v>
      </c>
      <c r="X402" s="21">
        <v>46.943588235294115</v>
      </c>
      <c r="Y402" s="21">
        <v>0.1011470588235294</v>
      </c>
      <c r="Z402" s="21">
        <v>1.9301764705882349</v>
      </c>
      <c r="AA402" s="21">
        <v>0.21249999999999997</v>
      </c>
      <c r="AB402" s="21">
        <v>1.1756764705882352</v>
      </c>
      <c r="AC402" s="21">
        <v>0.40438235294117642</v>
      </c>
      <c r="AD402" s="21">
        <v>6.3823529411764701E-3</v>
      </c>
      <c r="AE402" s="21">
        <v>5.1529411764705879E-2</v>
      </c>
      <c r="AF402" s="21">
        <v>1.1970588235294117E-2</v>
      </c>
      <c r="AG402" s="21">
        <v>0.13467647058823529</v>
      </c>
      <c r="AH402" s="21">
        <v>5.8823529411764705E-2</v>
      </c>
      <c r="AI402" s="21">
        <v>3.6058823529411761E-2</v>
      </c>
      <c r="AJ402" s="21">
        <v>7.2911764705882343E-2</v>
      </c>
    </row>
    <row r="403" spans="1:36" x14ac:dyDescent="0.25">
      <c r="A403" s="17" t="s">
        <v>876</v>
      </c>
      <c r="B403" s="18" t="s">
        <v>877</v>
      </c>
      <c r="C403" s="19" t="s">
        <v>146</v>
      </c>
      <c r="D403" s="20" t="s">
        <v>153</v>
      </c>
      <c r="E403" s="20">
        <v>2</v>
      </c>
      <c r="F403" s="20" t="s">
        <v>775</v>
      </c>
      <c r="G403" s="20" t="s">
        <v>994</v>
      </c>
      <c r="H403" s="5">
        <f t="shared" si="6"/>
        <v>247.96255882352941</v>
      </c>
      <c r="I403" s="21">
        <v>0.18149999999999999</v>
      </c>
      <c r="J403" s="21">
        <v>0.44182352941176467</v>
      </c>
      <c r="K403" s="21">
        <v>4.6537352941176469</v>
      </c>
      <c r="L403" s="6">
        <v>0.23508823529411763</v>
      </c>
      <c r="M403" s="21">
        <v>0.28547058823529409</v>
      </c>
      <c r="N403" s="21">
        <v>53.581705882352942</v>
      </c>
      <c r="O403" s="21">
        <v>0</v>
      </c>
      <c r="P403" s="21">
        <v>0</v>
      </c>
      <c r="Q403" s="21">
        <v>13.732529411764705</v>
      </c>
      <c r="R403" s="21">
        <v>0.40599999999999997</v>
      </c>
      <c r="S403" s="21">
        <v>12.531441176470588</v>
      </c>
      <c r="T403" s="21">
        <v>0</v>
      </c>
      <c r="U403" s="21">
        <v>0</v>
      </c>
      <c r="V403" s="21">
        <v>80.983147058823519</v>
      </c>
      <c r="W403" s="21">
        <v>6.3581764705882344</v>
      </c>
      <c r="X403" s="21">
        <v>68.199117647058813</v>
      </c>
      <c r="Y403" s="21">
        <v>0.17849999999999999</v>
      </c>
      <c r="Z403" s="21">
        <v>3.4589705882352941</v>
      </c>
      <c r="AA403" s="21">
        <v>0.214</v>
      </c>
      <c r="AB403" s="21">
        <v>1.2176176470588236</v>
      </c>
      <c r="AC403" s="21">
        <v>0.79038235294117642</v>
      </c>
      <c r="AD403" s="21">
        <v>1.1588235294117646E-2</v>
      </c>
      <c r="AE403" s="21">
        <v>6.1352941176470582E-2</v>
      </c>
      <c r="AF403" s="21">
        <v>1.4117647058823526E-2</v>
      </c>
      <c r="AG403" s="21">
        <v>0.11514705882352939</v>
      </c>
      <c r="AH403" s="21">
        <v>9.1705882352941165E-2</v>
      </c>
      <c r="AI403" s="21">
        <v>5.4147058823529402E-2</v>
      </c>
      <c r="AJ403" s="21">
        <v>0.16529411764705881</v>
      </c>
    </row>
    <row r="404" spans="1:36" x14ac:dyDescent="0.25">
      <c r="A404" s="17" t="s">
        <v>878</v>
      </c>
      <c r="B404" s="18" t="s">
        <v>879</v>
      </c>
      <c r="C404" s="19" t="s">
        <v>146</v>
      </c>
      <c r="D404" s="20" t="s">
        <v>155</v>
      </c>
      <c r="E404" s="20">
        <v>2</v>
      </c>
      <c r="F404" s="20" t="s">
        <v>775</v>
      </c>
      <c r="G404" s="20" t="s">
        <v>994</v>
      </c>
      <c r="H404" s="5">
        <f t="shared" si="6"/>
        <v>158.75805882352941</v>
      </c>
      <c r="I404" s="21">
        <v>0.20729411764705882</v>
      </c>
      <c r="J404" s="21">
        <v>0.33855882352941175</v>
      </c>
      <c r="K404" s="21">
        <v>2.8564411764705882</v>
      </c>
      <c r="L404" s="6">
        <v>0.14661764705882352</v>
      </c>
      <c r="M404" s="21">
        <v>0.19699999999999998</v>
      </c>
      <c r="N404" s="21">
        <v>32.963470588235289</v>
      </c>
      <c r="O404" s="21">
        <v>0</v>
      </c>
      <c r="P404" s="21">
        <v>0</v>
      </c>
      <c r="Q404" s="21">
        <v>7.6106764705882339</v>
      </c>
      <c r="R404" s="21">
        <v>0.27094117647058819</v>
      </c>
      <c r="S404" s="21">
        <v>7.890735294117647</v>
      </c>
      <c r="T404" s="21">
        <v>0</v>
      </c>
      <c r="U404" s="21">
        <v>0</v>
      </c>
      <c r="V404" s="21">
        <v>53.498676470588229</v>
      </c>
      <c r="W404" s="21">
        <v>3.7849999999999997</v>
      </c>
      <c r="X404" s="21">
        <v>45.015558823529403</v>
      </c>
      <c r="Y404" s="21">
        <v>0.12408823529411764</v>
      </c>
      <c r="Z404" s="21">
        <v>2.1358823529411763</v>
      </c>
      <c r="AA404" s="21">
        <v>0.14505882352941177</v>
      </c>
      <c r="AB404" s="21">
        <v>0.78776470588235292</v>
      </c>
      <c r="AC404" s="21">
        <v>0.48441176470588238</v>
      </c>
      <c r="AD404" s="21">
        <v>4.6470588235294112E-3</v>
      </c>
      <c r="AE404" s="21">
        <v>4.0970588235294113E-2</v>
      </c>
      <c r="AF404" s="21">
        <v>7.9705882352941182E-3</v>
      </c>
      <c r="AG404" s="21">
        <v>7.2735294117647051E-2</v>
      </c>
      <c r="AH404" s="21">
        <v>5.2794117647058825E-2</v>
      </c>
      <c r="AI404" s="21">
        <v>2.4764705882352939E-2</v>
      </c>
      <c r="AJ404" s="21">
        <v>9.6000000000000002E-2</v>
      </c>
    </row>
    <row r="405" spans="1:36" x14ac:dyDescent="0.25">
      <c r="A405" s="17" t="s">
        <v>880</v>
      </c>
      <c r="B405" s="18" t="s">
        <v>881</v>
      </c>
      <c r="C405" s="19" t="s">
        <v>146</v>
      </c>
      <c r="D405" s="20" t="s">
        <v>157</v>
      </c>
      <c r="E405" s="20">
        <v>2</v>
      </c>
      <c r="F405" s="20" t="s">
        <v>775</v>
      </c>
      <c r="G405" s="20" t="s">
        <v>994</v>
      </c>
      <c r="H405" s="5">
        <f t="shared" si="6"/>
        <v>56.56782352941174</v>
      </c>
      <c r="I405" s="21">
        <v>0.15344117647058822</v>
      </c>
      <c r="J405" s="21">
        <v>0.26964705882352941</v>
      </c>
      <c r="K405" s="21">
        <v>1.0554117647058823</v>
      </c>
      <c r="L405" s="6">
        <v>5.252941176470588E-2</v>
      </c>
      <c r="M405" s="21">
        <v>0.12058823529411765</v>
      </c>
      <c r="N405" s="21">
        <v>11.968882352941176</v>
      </c>
      <c r="O405" s="21">
        <v>0</v>
      </c>
      <c r="P405" s="21">
        <v>0</v>
      </c>
      <c r="Q405" s="21">
        <v>1.7462352941176469</v>
      </c>
      <c r="R405" s="21">
        <v>0.14594117647058821</v>
      </c>
      <c r="S405" s="21">
        <v>2.6107647058823527</v>
      </c>
      <c r="T405" s="21">
        <v>0</v>
      </c>
      <c r="U405" s="21">
        <v>0</v>
      </c>
      <c r="V405" s="21">
        <v>15.613647058823528</v>
      </c>
      <c r="W405" s="21">
        <v>1.0626470588235293</v>
      </c>
      <c r="X405" s="21">
        <v>20.065823529411762</v>
      </c>
      <c r="Y405" s="21">
        <v>5.6882352941176467E-2</v>
      </c>
      <c r="Z405" s="21">
        <v>0.83658823529411763</v>
      </c>
      <c r="AA405" s="21">
        <v>7.2794117647058815E-2</v>
      </c>
      <c r="AB405" s="21">
        <v>0.4124411764705882</v>
      </c>
      <c r="AC405" s="21">
        <v>0.17099999999999999</v>
      </c>
      <c r="AD405" s="21">
        <v>2.8823529411764704E-3</v>
      </c>
      <c r="AE405" s="21">
        <v>1.8735294117647058E-2</v>
      </c>
      <c r="AF405" s="21">
        <v>8.8235294117647051E-5</v>
      </c>
      <c r="AG405" s="21">
        <v>5.870588235294117E-2</v>
      </c>
      <c r="AH405" s="21">
        <v>2.7617647058823528E-2</v>
      </c>
      <c r="AI405" s="21">
        <v>1.0735294117647058E-2</v>
      </c>
      <c r="AJ405" s="21">
        <v>3.3794117647058822E-2</v>
      </c>
    </row>
    <row r="406" spans="1:36" x14ac:dyDescent="0.25">
      <c r="A406" s="17" t="s">
        <v>882</v>
      </c>
      <c r="B406" s="18" t="s">
        <v>883</v>
      </c>
      <c r="C406" s="19" t="s">
        <v>146</v>
      </c>
      <c r="D406" s="20" t="s">
        <v>159</v>
      </c>
      <c r="E406" s="20">
        <v>2</v>
      </c>
      <c r="F406" s="20" t="s">
        <v>775</v>
      </c>
      <c r="G406" s="20" t="s">
        <v>994</v>
      </c>
      <c r="H406" s="5">
        <f t="shared" si="6"/>
        <v>113.69044117647056</v>
      </c>
      <c r="I406" s="21">
        <v>0.1532941176470588</v>
      </c>
      <c r="J406" s="21">
        <v>0.31199999999999994</v>
      </c>
      <c r="K406" s="21">
        <v>2.1981176470588233</v>
      </c>
      <c r="L406" s="6">
        <v>0.11691176470588234</v>
      </c>
      <c r="M406" s="21">
        <v>0.13670588235294118</v>
      </c>
      <c r="N406" s="21">
        <v>23.776176470588233</v>
      </c>
      <c r="O406" s="21">
        <v>4.411764705882352E-4</v>
      </c>
      <c r="P406" s="21">
        <v>1.0529411764705881E-2</v>
      </c>
      <c r="Q406" s="21">
        <v>5.0926470588235295</v>
      </c>
      <c r="R406" s="21">
        <v>0.19364705882352939</v>
      </c>
      <c r="S406" s="21">
        <v>6.2293235294117641</v>
      </c>
      <c r="T406" s="21">
        <v>0</v>
      </c>
      <c r="U406" s="21">
        <v>0</v>
      </c>
      <c r="V406" s="21">
        <v>38.98391176470588</v>
      </c>
      <c r="W406" s="21">
        <v>2.7209999999999996</v>
      </c>
      <c r="X406" s="21">
        <v>31.049264705882347</v>
      </c>
      <c r="Y406" s="21">
        <v>9.1941176470588235E-2</v>
      </c>
      <c r="Z406" s="21">
        <v>1.3973529411764705</v>
      </c>
      <c r="AA406" s="21">
        <v>0.10064705882352941</v>
      </c>
      <c r="AB406" s="21">
        <v>0.52432352941176474</v>
      </c>
      <c r="AC406" s="21">
        <v>0.36438235294117644</v>
      </c>
      <c r="AD406" s="21">
        <v>2.352941176470588E-3</v>
      </c>
      <c r="AE406" s="21">
        <v>2.7441176470588233E-2</v>
      </c>
      <c r="AF406" s="21">
        <v>1.1205882352941175E-2</v>
      </c>
      <c r="AG406" s="21">
        <v>7.2823529411764704E-2</v>
      </c>
      <c r="AH406" s="21">
        <v>3.470588235294117E-2</v>
      </c>
      <c r="AI406" s="21">
        <v>1.7705882352941175E-2</v>
      </c>
      <c r="AJ406" s="21">
        <v>7.1588235294117647E-2</v>
      </c>
    </row>
    <row r="407" spans="1:36" x14ac:dyDescent="0.25">
      <c r="A407" s="17" t="s">
        <v>884</v>
      </c>
      <c r="B407" s="18" t="s">
        <v>885</v>
      </c>
      <c r="C407" s="19" t="s">
        <v>146</v>
      </c>
      <c r="D407" s="20" t="s">
        <v>163</v>
      </c>
      <c r="E407" s="20">
        <v>6</v>
      </c>
      <c r="F407" s="20" t="s">
        <v>775</v>
      </c>
      <c r="G407" s="20" t="s">
        <v>994</v>
      </c>
      <c r="H407" s="5">
        <f t="shared" si="6"/>
        <v>168.82376470588235</v>
      </c>
      <c r="I407" s="21">
        <v>0.17961764705882352</v>
      </c>
      <c r="J407" s="21">
        <v>0.44226470588235289</v>
      </c>
      <c r="K407" s="21">
        <v>3.4672058823529408</v>
      </c>
      <c r="L407" s="6">
        <v>0.19758823529411765</v>
      </c>
      <c r="M407" s="21">
        <v>0.2487941176470588</v>
      </c>
      <c r="N407" s="21">
        <v>37.351470588235294</v>
      </c>
      <c r="O407" s="21">
        <v>0</v>
      </c>
      <c r="P407" s="21">
        <v>5.5882352941176471E-4</v>
      </c>
      <c r="Q407" s="21">
        <v>7.8725588235294115</v>
      </c>
      <c r="R407" s="21">
        <v>0.29744117647058821</v>
      </c>
      <c r="S407" s="21">
        <v>9.9584705882352935</v>
      </c>
      <c r="T407" s="21">
        <v>0</v>
      </c>
      <c r="U407" s="21">
        <v>0</v>
      </c>
      <c r="V407" s="21">
        <v>56.064764705882347</v>
      </c>
      <c r="W407" s="21">
        <v>3.8013823529411761</v>
      </c>
      <c r="X407" s="21">
        <v>45.002676470588234</v>
      </c>
      <c r="Y407" s="21">
        <v>0.10238235294117647</v>
      </c>
      <c r="Z407" s="21">
        <v>1.8935294117647059</v>
      </c>
      <c r="AA407" s="21">
        <v>0.16929411764705882</v>
      </c>
      <c r="AB407" s="21">
        <v>0.85894117647058821</v>
      </c>
      <c r="AC407" s="21">
        <v>0.56567647058823523</v>
      </c>
      <c r="AD407" s="21">
        <v>0</v>
      </c>
      <c r="AE407" s="21">
        <v>4.9176470588235287E-2</v>
      </c>
      <c r="AF407" s="21">
        <v>8.8235294117647051E-5</v>
      </c>
      <c r="AG407" s="21">
        <v>9.929411764705881E-2</v>
      </c>
      <c r="AH407" s="21">
        <v>7.5794117647058817E-2</v>
      </c>
      <c r="AI407" s="21">
        <v>2.8970588235294113E-2</v>
      </c>
      <c r="AJ407" s="21">
        <v>9.5823529411764696E-2</v>
      </c>
    </row>
    <row r="408" spans="1:36" x14ac:dyDescent="0.25">
      <c r="A408" s="17" t="s">
        <v>886</v>
      </c>
      <c r="B408" s="18" t="s">
        <v>887</v>
      </c>
      <c r="C408" s="19" t="s">
        <v>146</v>
      </c>
      <c r="D408" s="20" t="s">
        <v>165</v>
      </c>
      <c r="E408" s="20">
        <v>6</v>
      </c>
      <c r="F408" s="20" t="s">
        <v>775</v>
      </c>
      <c r="G408" s="20" t="s">
        <v>994</v>
      </c>
      <c r="H408" s="5">
        <f t="shared" si="6"/>
        <v>308.4783823529412</v>
      </c>
      <c r="I408" s="21">
        <v>0.17044117647058823</v>
      </c>
      <c r="J408" s="21">
        <v>0.53476470588235292</v>
      </c>
      <c r="K408" s="21">
        <v>5.5029411764705882</v>
      </c>
      <c r="L408" s="6">
        <v>0.30079411764705882</v>
      </c>
      <c r="M408" s="21">
        <v>0.38344117647058823</v>
      </c>
      <c r="N408" s="21">
        <v>60.222147058823523</v>
      </c>
      <c r="O408" s="21">
        <v>1.3117647058823529E-2</v>
      </c>
      <c r="P408" s="21">
        <v>3.0205882352941173E-2</v>
      </c>
      <c r="Q408" s="21">
        <v>17.563294117647057</v>
      </c>
      <c r="R408" s="21">
        <v>0.47114705882352936</v>
      </c>
      <c r="S408" s="21">
        <v>13.67620588235294</v>
      </c>
      <c r="T408" s="21">
        <v>0</v>
      </c>
      <c r="U408" s="21">
        <v>0</v>
      </c>
      <c r="V408" s="21">
        <v>106.36623529411764</v>
      </c>
      <c r="W408" s="21">
        <v>8.6799705882352942</v>
      </c>
      <c r="X408" s="21">
        <v>87.138794117647052</v>
      </c>
      <c r="Y408" s="21">
        <v>0.26355882352941173</v>
      </c>
      <c r="Z408" s="21">
        <v>4.1469411764705884</v>
      </c>
      <c r="AA408" s="21">
        <v>0.22649999999999998</v>
      </c>
      <c r="AB408" s="21">
        <v>1.4075588235294116</v>
      </c>
      <c r="AC408" s="21">
        <v>0.87091176470588227</v>
      </c>
      <c r="AD408" s="21">
        <v>9.7058823529411753E-3</v>
      </c>
      <c r="AE408" s="21">
        <v>5.5352941176470584E-2</v>
      </c>
      <c r="AF408" s="21">
        <v>2.2558823529411763E-2</v>
      </c>
      <c r="AG408" s="21">
        <v>0.12629411764705881</v>
      </c>
      <c r="AH408" s="21">
        <v>8.8176470588235287E-2</v>
      </c>
      <c r="AI408" s="21">
        <v>4.9176470588235287E-2</v>
      </c>
      <c r="AJ408" s="21">
        <v>0.15814705882352939</v>
      </c>
    </row>
    <row r="409" spans="1:36" x14ac:dyDescent="0.25">
      <c r="A409" s="17" t="s">
        <v>888</v>
      </c>
      <c r="B409" s="18" t="s">
        <v>889</v>
      </c>
      <c r="C409" s="19" t="s">
        <v>146</v>
      </c>
      <c r="D409" s="20" t="s">
        <v>161</v>
      </c>
      <c r="E409" s="20">
        <v>6</v>
      </c>
      <c r="F409" s="20" t="s">
        <v>775</v>
      </c>
      <c r="G409" s="20" t="s">
        <v>994</v>
      </c>
      <c r="H409" s="5">
        <f t="shared" si="6"/>
        <v>373.17041176470582</v>
      </c>
      <c r="I409" s="21">
        <v>0.22208823529411761</v>
      </c>
      <c r="J409" s="21">
        <v>0.69452941176470584</v>
      </c>
      <c r="K409" s="21">
        <v>8.1049705882352931</v>
      </c>
      <c r="L409" s="6">
        <v>0.40847058823529409</v>
      </c>
      <c r="M409" s="21">
        <v>0.48438235294117643</v>
      </c>
      <c r="N409" s="21">
        <v>86.280235294117645</v>
      </c>
      <c r="O409" s="21">
        <v>1.6911764705882352E-2</v>
      </c>
      <c r="P409" s="21">
        <v>3.3823529411764704E-2</v>
      </c>
      <c r="Q409" s="21">
        <v>23.289205882352938</v>
      </c>
      <c r="R409" s="21">
        <v>0.62302941176470583</v>
      </c>
      <c r="S409" s="21">
        <v>20.51985294117647</v>
      </c>
      <c r="T409" s="21">
        <v>0</v>
      </c>
      <c r="U409" s="21">
        <v>0</v>
      </c>
      <c r="V409" s="21">
        <v>117.5216176470588</v>
      </c>
      <c r="W409" s="21">
        <v>9.5263235294117639</v>
      </c>
      <c r="X409" s="21">
        <v>95.532176470588212</v>
      </c>
      <c r="Y409" s="21">
        <v>0.1911176470588235</v>
      </c>
      <c r="Z409" s="21">
        <v>4.9983823529411762</v>
      </c>
      <c r="AA409" s="21">
        <v>0.38691176470588234</v>
      </c>
      <c r="AB409" s="21">
        <v>2.3599705882352939</v>
      </c>
      <c r="AC409" s="21">
        <v>1.178264705882353</v>
      </c>
      <c r="AD409" s="21">
        <v>6.7647058823529409E-3</v>
      </c>
      <c r="AE409" s="21">
        <v>9.3441176470588222E-2</v>
      </c>
      <c r="AF409" s="21">
        <v>1.6264705882352942E-2</v>
      </c>
      <c r="AG409" s="21">
        <v>0.15020588235294116</v>
      </c>
      <c r="AH409" s="21">
        <v>0.17044117647058823</v>
      </c>
      <c r="AI409" s="21">
        <v>7.3088235294117648E-2</v>
      </c>
      <c r="AJ409" s="21">
        <v>0.2879411764705882</v>
      </c>
    </row>
    <row r="410" spans="1:36" x14ac:dyDescent="0.25">
      <c r="A410" s="17" t="s">
        <v>890</v>
      </c>
      <c r="B410" s="18" t="s">
        <v>891</v>
      </c>
      <c r="C410" s="19" t="s">
        <v>146</v>
      </c>
      <c r="D410" s="20" t="s">
        <v>167</v>
      </c>
      <c r="E410" s="20">
        <v>6</v>
      </c>
      <c r="F410" s="20" t="s">
        <v>775</v>
      </c>
      <c r="G410" s="20" t="s">
        <v>994</v>
      </c>
      <c r="H410" s="5">
        <f t="shared" si="6"/>
        <v>86.69676470588233</v>
      </c>
      <c r="I410" s="21">
        <v>0.15899999999999997</v>
      </c>
      <c r="J410" s="21">
        <v>0.33597058823529408</v>
      </c>
      <c r="K410" s="21">
        <v>1.9483235294117645</v>
      </c>
      <c r="L410" s="6">
        <v>9.7029411764705864E-2</v>
      </c>
      <c r="M410" s="21">
        <v>0.15688235294117645</v>
      </c>
      <c r="N410" s="21">
        <v>19.398705882352939</v>
      </c>
      <c r="O410" s="21">
        <v>0</v>
      </c>
      <c r="P410" s="21">
        <v>5.2941176470588231E-4</v>
      </c>
      <c r="Q410" s="21">
        <v>4.229382352941176</v>
      </c>
      <c r="R410" s="21">
        <v>0.15994117647058823</v>
      </c>
      <c r="S410" s="21">
        <v>5.1765294117647054</v>
      </c>
      <c r="T410" s="21">
        <v>0</v>
      </c>
      <c r="U410" s="21">
        <v>0</v>
      </c>
      <c r="V410" s="21">
        <v>27.734794117647059</v>
      </c>
      <c r="W410" s="21">
        <v>1.8611470588235293</v>
      </c>
      <c r="X410" s="21">
        <v>23.378294117647059</v>
      </c>
      <c r="Y410" s="21">
        <v>6.6323529411764698E-2</v>
      </c>
      <c r="Z410" s="21">
        <v>1.1580294117647059</v>
      </c>
      <c r="AA410" s="21">
        <v>7.667647058823529E-2</v>
      </c>
      <c r="AB410" s="21">
        <v>0.35011764705882353</v>
      </c>
      <c r="AC410" s="21">
        <v>0.23155882352941173</v>
      </c>
      <c r="AD410" s="21">
        <v>5.2941176470588231E-4</v>
      </c>
      <c r="AE410" s="21">
        <v>1.9058823529411763E-2</v>
      </c>
      <c r="AF410" s="21">
        <v>0</v>
      </c>
      <c r="AG410" s="21">
        <v>5.7147058823529405E-2</v>
      </c>
      <c r="AH410" s="21">
        <v>3.667647058823529E-2</v>
      </c>
      <c r="AI410" s="21">
        <v>1.5529411764705882E-2</v>
      </c>
      <c r="AJ410" s="21">
        <v>4.858823529411764E-2</v>
      </c>
    </row>
    <row r="411" spans="1:36" x14ac:dyDescent="0.25">
      <c r="A411" s="17" t="s">
        <v>892</v>
      </c>
      <c r="B411" s="18" t="s">
        <v>893</v>
      </c>
      <c r="C411" s="19" t="s">
        <v>146</v>
      </c>
      <c r="D411" s="20" t="s">
        <v>169</v>
      </c>
      <c r="E411" s="20">
        <v>6</v>
      </c>
      <c r="F411" s="20" t="s">
        <v>775</v>
      </c>
      <c r="G411" s="20" t="s">
        <v>994</v>
      </c>
      <c r="H411" s="5">
        <f t="shared" si="6"/>
        <v>243.4110294117647</v>
      </c>
      <c r="I411" s="21">
        <v>0.16064705882352939</v>
      </c>
      <c r="J411" s="21">
        <v>0.41799999999999998</v>
      </c>
      <c r="K411" s="21">
        <v>4.3409117647058819</v>
      </c>
      <c r="L411" s="6">
        <v>0.18611764705882353</v>
      </c>
      <c r="M411" s="21">
        <v>0.33373529411764702</v>
      </c>
      <c r="N411" s="21">
        <v>49.883852941176464</v>
      </c>
      <c r="O411" s="21">
        <v>0</v>
      </c>
      <c r="P411" s="21">
        <v>0</v>
      </c>
      <c r="Q411" s="21">
        <v>10.559029411764705</v>
      </c>
      <c r="R411" s="21">
        <v>0.46229411764705874</v>
      </c>
      <c r="S411" s="21">
        <v>13.56391176470588</v>
      </c>
      <c r="T411" s="21">
        <v>0</v>
      </c>
      <c r="U411" s="21">
        <v>0</v>
      </c>
      <c r="V411" s="21">
        <v>80.094823529411755</v>
      </c>
      <c r="W411" s="21">
        <v>5.7261470588235293</v>
      </c>
      <c r="X411" s="21">
        <v>70.944058823529403</v>
      </c>
      <c r="Y411" s="21">
        <v>0.2069705882352941</v>
      </c>
      <c r="Z411" s="21">
        <v>3.573</v>
      </c>
      <c r="AA411" s="21">
        <v>0.22391176470588234</v>
      </c>
      <c r="AB411" s="21">
        <v>1.330970588235294</v>
      </c>
      <c r="AC411" s="21">
        <v>0.85482352941176465</v>
      </c>
      <c r="AD411" s="21">
        <v>6.4117647058823529E-3</v>
      </c>
      <c r="AE411" s="21">
        <v>5.776470588235294E-2</v>
      </c>
      <c r="AF411" s="21">
        <v>2.1794117647058821E-2</v>
      </c>
      <c r="AG411" s="21">
        <v>0.15652941176470589</v>
      </c>
      <c r="AH411" s="21">
        <v>7.929411764705882E-2</v>
      </c>
      <c r="AI411" s="21">
        <v>4.2529411764705878E-2</v>
      </c>
      <c r="AJ411" s="21">
        <v>0.1835</v>
      </c>
    </row>
    <row r="412" spans="1:36" x14ac:dyDescent="0.25">
      <c r="A412" s="17" t="s">
        <v>894</v>
      </c>
      <c r="B412" s="18" t="s">
        <v>895</v>
      </c>
      <c r="C412" s="19" t="s">
        <v>261</v>
      </c>
      <c r="D412" s="20" t="s">
        <v>262</v>
      </c>
      <c r="E412" s="20">
        <v>0</v>
      </c>
      <c r="F412" s="20" t="s">
        <v>713</v>
      </c>
      <c r="G412" s="20" t="s">
        <v>994</v>
      </c>
      <c r="H412" s="5">
        <f t="shared" si="6"/>
        <v>716.80664705882327</v>
      </c>
      <c r="I412" s="21">
        <v>0.23823529411764705</v>
      </c>
      <c r="J412" s="21">
        <v>0.78526470588235286</v>
      </c>
      <c r="K412" s="21">
        <v>10.861852941176469</v>
      </c>
      <c r="L412" s="6">
        <v>0.53502941176470575</v>
      </c>
      <c r="M412" s="21">
        <v>1.1671470588235293</v>
      </c>
      <c r="N412" s="21">
        <v>157.63079411764704</v>
      </c>
      <c r="O412" s="21">
        <v>0</v>
      </c>
      <c r="P412" s="21">
        <v>0</v>
      </c>
      <c r="Q412" s="21">
        <v>38.027029411764701</v>
      </c>
      <c r="R412" s="21">
        <v>1.4137941176470588</v>
      </c>
      <c r="S412" s="21">
        <v>23.646558823529411</v>
      </c>
      <c r="T412" s="21">
        <v>0</v>
      </c>
      <c r="U412" s="21">
        <v>0</v>
      </c>
      <c r="V412" s="21">
        <v>216.64105882352939</v>
      </c>
      <c r="W412" s="21">
        <v>19.062735294117644</v>
      </c>
      <c r="X412" s="21">
        <v>219.18026470588231</v>
      </c>
      <c r="Y412" s="21">
        <v>0.77867647058823519</v>
      </c>
      <c r="Z412" s="21">
        <v>13.59770588235294</v>
      </c>
      <c r="AA412" s="21">
        <v>0.65188235294117647</v>
      </c>
      <c r="AB412" s="21">
        <v>5.0645588235294117</v>
      </c>
      <c r="AC412" s="21">
        <v>4.1700294117647054</v>
      </c>
      <c r="AD412" s="21">
        <v>0.13311764705882353</v>
      </c>
      <c r="AE412" s="21">
        <v>0.16817647058823529</v>
      </c>
      <c r="AF412" s="21">
        <v>0.19655882352941176</v>
      </c>
      <c r="AG412" s="21">
        <v>0.27432352941176469</v>
      </c>
      <c r="AH412" s="21">
        <v>0.60691176470588237</v>
      </c>
      <c r="AI412" s="21">
        <v>0.10885294117647058</v>
      </c>
      <c r="AJ412" s="21">
        <v>1.8660882352941175</v>
      </c>
    </row>
    <row r="413" spans="1:36" x14ac:dyDescent="0.25">
      <c r="A413" s="17" t="s">
        <v>896</v>
      </c>
      <c r="B413" s="18" t="s">
        <v>897</v>
      </c>
      <c r="C413" s="19" t="s">
        <v>261</v>
      </c>
      <c r="D413" s="20" t="s">
        <v>268</v>
      </c>
      <c r="E413" s="20">
        <v>1</v>
      </c>
      <c r="F413" s="20" t="s">
        <v>713</v>
      </c>
      <c r="G413" s="20" t="s">
        <v>994</v>
      </c>
      <c r="H413" s="5">
        <f t="shared" si="6"/>
        <v>437.99911764705871</v>
      </c>
      <c r="I413" s="21">
        <v>0.16502941176470587</v>
      </c>
      <c r="J413" s="21">
        <v>0.53961764705882342</v>
      </c>
      <c r="K413" s="21">
        <v>6.3717647058823523</v>
      </c>
      <c r="L413" s="6">
        <v>0.35211764705882348</v>
      </c>
      <c r="M413" s="21">
        <v>0.78317647058823525</v>
      </c>
      <c r="N413" s="21">
        <v>93.247382352941173</v>
      </c>
      <c r="O413" s="21">
        <v>0</v>
      </c>
      <c r="P413" s="21">
        <v>0</v>
      </c>
      <c r="Q413" s="21">
        <v>26.36376470588235</v>
      </c>
      <c r="R413" s="21">
        <v>0.89394117647058813</v>
      </c>
      <c r="S413" s="21">
        <v>11.776705882352941</v>
      </c>
      <c r="T413" s="21">
        <v>0</v>
      </c>
      <c r="U413" s="21">
        <v>0</v>
      </c>
      <c r="V413" s="21">
        <v>136.08720588235292</v>
      </c>
      <c r="W413" s="21">
        <v>14.045617647058821</v>
      </c>
      <c r="X413" s="21">
        <v>131.26161764705881</v>
      </c>
      <c r="Y413" s="21">
        <v>0.43291176470588227</v>
      </c>
      <c r="Z413" s="21">
        <v>8.0914705882352944</v>
      </c>
      <c r="AA413" s="21">
        <v>0.29711764705882349</v>
      </c>
      <c r="AB413" s="21">
        <v>2.4019411764705882</v>
      </c>
      <c r="AC413" s="21">
        <v>2.800205882352941</v>
      </c>
      <c r="AD413" s="21">
        <v>5.2999999999999999E-2</v>
      </c>
      <c r="AE413" s="21">
        <v>7.988235294117646E-2</v>
      </c>
      <c r="AF413" s="21">
        <v>0.14211764705882352</v>
      </c>
      <c r="AG413" s="21">
        <v>0.11094117647058821</v>
      </c>
      <c r="AH413" s="21">
        <v>0.34252941176470586</v>
      </c>
      <c r="AI413" s="21">
        <v>5.1705882352941171E-2</v>
      </c>
      <c r="AJ413" s="21">
        <v>1.3073529411764706</v>
      </c>
    </row>
    <row r="414" spans="1:36" x14ac:dyDescent="0.25">
      <c r="A414" s="17" t="s">
        <v>898</v>
      </c>
      <c r="B414" s="18" t="s">
        <v>899</v>
      </c>
      <c r="C414" s="19" t="s">
        <v>261</v>
      </c>
      <c r="D414" s="20" t="s">
        <v>270</v>
      </c>
      <c r="E414" s="20">
        <v>1</v>
      </c>
      <c r="F414" s="20" t="s">
        <v>713</v>
      </c>
      <c r="G414" s="20" t="s">
        <v>994</v>
      </c>
      <c r="H414" s="5">
        <f t="shared" si="6"/>
        <v>706.96614705882348</v>
      </c>
      <c r="I414" s="21">
        <v>0.18147058823529411</v>
      </c>
      <c r="J414" s="21">
        <v>0.76079411764705884</v>
      </c>
      <c r="K414" s="21">
        <v>7.4157647058823528</v>
      </c>
      <c r="L414" s="6">
        <v>0.5338235294117647</v>
      </c>
      <c r="M414" s="21">
        <v>1.4076470588235295</v>
      </c>
      <c r="N414" s="21">
        <v>120.3570588235294</v>
      </c>
      <c r="O414" s="21">
        <v>0</v>
      </c>
      <c r="P414" s="21">
        <v>2.4470588235294112E-2</v>
      </c>
      <c r="Q414" s="21">
        <v>43.751882352941173</v>
      </c>
      <c r="R414" s="21">
        <v>1.4828529411764706</v>
      </c>
      <c r="S414" s="21">
        <v>13.21035294117647</v>
      </c>
      <c r="T414" s="21">
        <v>0</v>
      </c>
      <c r="U414" s="21">
        <v>0</v>
      </c>
      <c r="V414" s="21">
        <v>212.72270588235293</v>
      </c>
      <c r="W414" s="21">
        <v>19.600558823529408</v>
      </c>
      <c r="X414" s="21">
        <v>259.57414705882354</v>
      </c>
      <c r="Y414" s="21">
        <v>1.0176176470588234</v>
      </c>
      <c r="Z414" s="21">
        <v>13.208029411764706</v>
      </c>
      <c r="AA414" s="21">
        <v>0.56476470588235284</v>
      </c>
      <c r="AB414" s="21">
        <v>6.1846764705882356</v>
      </c>
      <c r="AC414" s="21">
        <v>2.9555294117647057</v>
      </c>
      <c r="AD414" s="21">
        <v>0.12573529411764706</v>
      </c>
      <c r="AE414" s="21">
        <v>9.9058823529411755E-2</v>
      </c>
      <c r="AF414" s="21">
        <v>0.1479705882352941</v>
      </c>
      <c r="AG414" s="21">
        <v>0.26638235294117646</v>
      </c>
      <c r="AH414" s="21">
        <v>0.39788235294117646</v>
      </c>
      <c r="AI414" s="21">
        <v>5.7529411764705878E-2</v>
      </c>
      <c r="AJ414" s="21">
        <v>0.91744117647058809</v>
      </c>
    </row>
    <row r="415" spans="1:36" x14ac:dyDescent="0.25">
      <c r="A415" s="17" t="s">
        <v>900</v>
      </c>
      <c r="B415" s="18" t="s">
        <v>901</v>
      </c>
      <c r="C415" s="19" t="s">
        <v>261</v>
      </c>
      <c r="D415" s="20" t="s">
        <v>272</v>
      </c>
      <c r="E415" s="20">
        <v>1</v>
      </c>
      <c r="F415" s="20" t="s">
        <v>713</v>
      </c>
      <c r="G415" s="20" t="s">
        <v>994</v>
      </c>
      <c r="H415" s="5">
        <f t="shared" si="6"/>
        <v>300.94835294117649</v>
      </c>
      <c r="I415" s="21">
        <v>0.15805882352941175</v>
      </c>
      <c r="J415" s="21">
        <v>0.40188235294117647</v>
      </c>
      <c r="K415" s="21">
        <v>4.5867647058823531</v>
      </c>
      <c r="L415" s="6">
        <v>0.25355882352941173</v>
      </c>
      <c r="M415" s="21">
        <v>0.47952941176470582</v>
      </c>
      <c r="N415" s="21">
        <v>65.470088235294114</v>
      </c>
      <c r="O415" s="21">
        <v>0</v>
      </c>
      <c r="P415" s="21">
        <v>0</v>
      </c>
      <c r="Q415" s="21">
        <v>16.335558823529411</v>
      </c>
      <c r="R415" s="21">
        <v>0.55879411764705877</v>
      </c>
      <c r="S415" s="21">
        <v>9.5377647058823527</v>
      </c>
      <c r="T415" s="21">
        <v>0</v>
      </c>
      <c r="U415" s="21">
        <v>0</v>
      </c>
      <c r="V415" s="21">
        <v>92.982735294117631</v>
      </c>
      <c r="W415" s="21">
        <v>8.0269411764705865</v>
      </c>
      <c r="X415" s="21">
        <v>92.192323529411752</v>
      </c>
      <c r="Y415" s="21">
        <v>0.28123529411764703</v>
      </c>
      <c r="Z415" s="21">
        <v>5.0213823529411759</v>
      </c>
      <c r="AA415" s="21">
        <v>0.23835294117647057</v>
      </c>
      <c r="AB415" s="21">
        <v>1.8272941176470587</v>
      </c>
      <c r="AC415" s="21">
        <v>1.5176176470588232</v>
      </c>
      <c r="AD415" s="21">
        <v>3.1352941176470583E-2</v>
      </c>
      <c r="AE415" s="21">
        <v>6.5941176470588225E-2</v>
      </c>
      <c r="AF415" s="21">
        <v>6.0088235294117644E-2</v>
      </c>
      <c r="AG415" s="21">
        <v>8.9970588235294108E-2</v>
      </c>
      <c r="AH415" s="21">
        <v>0.21811764705882353</v>
      </c>
      <c r="AI415" s="21">
        <v>3.8352941176470583E-2</v>
      </c>
      <c r="AJ415" s="21">
        <v>0.5746470588235294</v>
      </c>
    </row>
    <row r="416" spans="1:36" x14ac:dyDescent="0.25">
      <c r="A416" s="17" t="s">
        <v>902</v>
      </c>
      <c r="B416" s="18" t="s">
        <v>903</v>
      </c>
      <c r="C416" s="19" t="s">
        <v>261</v>
      </c>
      <c r="D416" s="20" t="s">
        <v>264</v>
      </c>
      <c r="E416" s="20">
        <v>1</v>
      </c>
      <c r="F416" s="20" t="s">
        <v>713</v>
      </c>
      <c r="G416" s="20" t="s">
        <v>994</v>
      </c>
      <c r="H416" s="5">
        <f t="shared" si="6"/>
        <v>748.12229411764713</v>
      </c>
      <c r="I416" s="21">
        <v>0.18667647058823528</v>
      </c>
      <c r="J416" s="21">
        <v>0.63758823529411757</v>
      </c>
      <c r="K416" s="21">
        <v>7.918499999999999</v>
      </c>
      <c r="L416" s="6">
        <v>0.55702941176470588</v>
      </c>
      <c r="M416" s="21">
        <v>1.4042352941176468</v>
      </c>
      <c r="N416" s="21">
        <v>140.21767647058823</v>
      </c>
      <c r="O416" s="21">
        <v>0</v>
      </c>
      <c r="P416" s="21">
        <v>0</v>
      </c>
      <c r="Q416" s="21">
        <v>57.090294117647048</v>
      </c>
      <c r="R416" s="21">
        <v>1.2643235294117645</v>
      </c>
      <c r="S416" s="21">
        <v>12.237882352941174</v>
      </c>
      <c r="T416" s="21">
        <v>0</v>
      </c>
      <c r="U416" s="21">
        <v>0</v>
      </c>
      <c r="V416" s="21">
        <v>217.99544117647056</v>
      </c>
      <c r="W416" s="21">
        <v>21.276382352941177</v>
      </c>
      <c r="X416" s="21">
        <v>258.13270588235292</v>
      </c>
      <c r="Y416" s="21">
        <v>0.93167647058823522</v>
      </c>
      <c r="Z416" s="21">
        <v>17.456647058823528</v>
      </c>
      <c r="AA416" s="21">
        <v>0.42426470588235288</v>
      </c>
      <c r="AB416" s="21">
        <v>4.1818529411764702</v>
      </c>
      <c r="AC416" s="21">
        <v>3.8392058823529411</v>
      </c>
      <c r="AD416" s="21">
        <v>0.16199999999999998</v>
      </c>
      <c r="AE416" s="21">
        <v>7.2088235294117647E-2</v>
      </c>
      <c r="AF416" s="21">
        <v>0.22644117647058823</v>
      </c>
      <c r="AG416" s="21">
        <v>0.20935294117647055</v>
      </c>
      <c r="AH416" s="21">
        <v>0.56732352941176467</v>
      </c>
      <c r="AI416" s="21">
        <v>2.5352941176470585E-2</v>
      </c>
      <c r="AJ416" s="21">
        <v>1.1073529411764704</v>
      </c>
    </row>
    <row r="417" spans="1:36" x14ac:dyDescent="0.25">
      <c r="A417" s="17" t="s">
        <v>904</v>
      </c>
      <c r="B417" s="18" t="s">
        <v>905</v>
      </c>
      <c r="C417" s="19" t="s">
        <v>261</v>
      </c>
      <c r="D417" s="20" t="s">
        <v>266</v>
      </c>
      <c r="E417" s="20">
        <v>1</v>
      </c>
      <c r="F417" s="20" t="s">
        <v>713</v>
      </c>
      <c r="G417" s="20" t="s">
        <v>994</v>
      </c>
      <c r="H417" s="5">
        <f t="shared" si="6"/>
        <v>360.1465</v>
      </c>
      <c r="I417" s="21">
        <v>0.16347058823529409</v>
      </c>
      <c r="J417" s="21">
        <v>0.45064705882352935</v>
      </c>
      <c r="K417" s="21">
        <v>5.3739411764705878</v>
      </c>
      <c r="L417" s="6">
        <v>0.25326470588235295</v>
      </c>
      <c r="M417" s="21">
        <v>0.63082352941176467</v>
      </c>
      <c r="N417" s="21">
        <v>80.328911764705879</v>
      </c>
      <c r="O417" s="21">
        <v>0</v>
      </c>
      <c r="P417" s="21">
        <v>0</v>
      </c>
      <c r="Q417" s="21">
        <v>17.281676470588234</v>
      </c>
      <c r="R417" s="21">
        <v>0.79067647058823531</v>
      </c>
      <c r="S417" s="21">
        <v>12.926088235294117</v>
      </c>
      <c r="T417" s="21">
        <v>0</v>
      </c>
      <c r="U417" s="21">
        <v>0</v>
      </c>
      <c r="V417" s="21">
        <v>106.1035588235294</v>
      </c>
      <c r="W417" s="21">
        <v>10.180823529411764</v>
      </c>
      <c r="X417" s="21">
        <v>113.6875882352941</v>
      </c>
      <c r="Y417" s="21">
        <v>0.29235294117647059</v>
      </c>
      <c r="Z417" s="21">
        <v>5.7634117647058822</v>
      </c>
      <c r="AA417" s="21">
        <v>0.28108823529411764</v>
      </c>
      <c r="AB417" s="21">
        <v>2.3688529411764705</v>
      </c>
      <c r="AC417" s="21">
        <v>1.9164705882352939</v>
      </c>
      <c r="AD417" s="21">
        <v>3.5558823529411761E-2</v>
      </c>
      <c r="AE417" s="21">
        <v>6.8617647058823519E-2</v>
      </c>
      <c r="AF417" s="21">
        <v>5.4117647058823527E-2</v>
      </c>
      <c r="AG417" s="21">
        <v>0.16114705882352939</v>
      </c>
      <c r="AH417" s="21">
        <v>0.30891176470588233</v>
      </c>
      <c r="AI417" s="21">
        <v>4.9617647058823523E-2</v>
      </c>
      <c r="AJ417" s="21">
        <v>0.67488235294117638</v>
      </c>
    </row>
    <row r="418" spans="1:36" x14ac:dyDescent="0.25">
      <c r="A418" s="17" t="s">
        <v>906</v>
      </c>
      <c r="B418" s="18" t="s">
        <v>907</v>
      </c>
      <c r="C418" s="19" t="s">
        <v>261</v>
      </c>
      <c r="D418" s="20" t="s">
        <v>278</v>
      </c>
      <c r="E418" s="20">
        <v>2</v>
      </c>
      <c r="F418" s="20" t="s">
        <v>713</v>
      </c>
      <c r="G418" s="20" t="s">
        <v>994</v>
      </c>
      <c r="H418" s="5">
        <f t="shared" si="6"/>
        <v>737.01229411764712</v>
      </c>
      <c r="I418" s="21">
        <v>0.19435294117647056</v>
      </c>
      <c r="J418" s="21">
        <v>0.88247058823529401</v>
      </c>
      <c r="K418" s="21">
        <v>7.8804999999999996</v>
      </c>
      <c r="L418" s="6">
        <v>0.58079411764705879</v>
      </c>
      <c r="M418" s="21">
        <v>1.5522058823529412</v>
      </c>
      <c r="N418" s="21">
        <v>121.46944117647058</v>
      </c>
      <c r="O418" s="21">
        <v>0</v>
      </c>
      <c r="P418" s="21">
        <v>0</v>
      </c>
      <c r="Q418" s="21">
        <v>47.424382352941166</v>
      </c>
      <c r="R418" s="21">
        <v>1.5573529411764704</v>
      </c>
      <c r="S418" s="21">
        <v>12.885058823529409</v>
      </c>
      <c r="T418" s="21">
        <v>0</v>
      </c>
      <c r="U418" s="21">
        <v>0</v>
      </c>
      <c r="V418" s="21">
        <v>222.64391176470588</v>
      </c>
      <c r="W418" s="21">
        <v>20.506323529411763</v>
      </c>
      <c r="X418" s="21">
        <v>271.68673529411763</v>
      </c>
      <c r="Y418" s="21">
        <v>1.1288823529411764</v>
      </c>
      <c r="Z418" s="21">
        <v>14.580676470588234</v>
      </c>
      <c r="AA418" s="21">
        <v>0.51905882352941168</v>
      </c>
      <c r="AB418" s="21">
        <v>5.740441176470588</v>
      </c>
      <c r="AC418" s="21">
        <v>3.5614999999999997</v>
      </c>
      <c r="AD418" s="21">
        <v>0.1179705882352941</v>
      </c>
      <c r="AE418" s="21">
        <v>9.5117647058823529E-2</v>
      </c>
      <c r="AF418" s="21">
        <v>0.15632352941176469</v>
      </c>
      <c r="AG418" s="21">
        <v>0.26635294117647057</v>
      </c>
      <c r="AH418" s="21">
        <v>0.40805882352941175</v>
      </c>
      <c r="AI418" s="21">
        <v>5.3058823529411762E-2</v>
      </c>
      <c r="AJ418" s="21">
        <v>1.1213235294117645</v>
      </c>
    </row>
    <row r="419" spans="1:36" x14ac:dyDescent="0.25">
      <c r="A419" s="17" t="s">
        <v>908</v>
      </c>
      <c r="B419" s="18" t="s">
        <v>909</v>
      </c>
      <c r="C419" s="19" t="s">
        <v>261</v>
      </c>
      <c r="D419" s="20" t="s">
        <v>280</v>
      </c>
      <c r="E419" s="20">
        <v>2</v>
      </c>
      <c r="F419" s="20" t="s">
        <v>713</v>
      </c>
      <c r="G419" s="20" t="s">
        <v>994</v>
      </c>
      <c r="H419" s="5">
        <f t="shared" si="6"/>
        <v>1181.8705000000002</v>
      </c>
      <c r="I419" s="21">
        <v>0.315</v>
      </c>
      <c r="J419" s="21">
        <v>1.0915882352941175</v>
      </c>
      <c r="K419" s="21">
        <v>16.543294117647058</v>
      </c>
      <c r="L419" s="6">
        <v>0.83338235294117635</v>
      </c>
      <c r="M419" s="21">
        <v>2.1199999999999997</v>
      </c>
      <c r="N419" s="21">
        <v>231.48770588235294</v>
      </c>
      <c r="O419" s="21">
        <v>0</v>
      </c>
      <c r="P419" s="21">
        <v>0</v>
      </c>
      <c r="Q419" s="21">
        <v>64.340617647058821</v>
      </c>
      <c r="R419" s="21">
        <v>2.8200588235294117</v>
      </c>
      <c r="S419" s="21">
        <v>35.35932352941176</v>
      </c>
      <c r="T419" s="21">
        <v>0</v>
      </c>
      <c r="U419" s="21">
        <v>0</v>
      </c>
      <c r="V419" s="21">
        <v>403.61020588235294</v>
      </c>
      <c r="W419" s="21">
        <v>24.327058823529409</v>
      </c>
      <c r="X419" s="21">
        <v>351.41561764705875</v>
      </c>
      <c r="Y419" s="21">
        <v>1.4222647058823528</v>
      </c>
      <c r="Z419" s="21">
        <v>22.178499999999996</v>
      </c>
      <c r="AA419" s="21">
        <v>1.1430588235294117</v>
      </c>
      <c r="AB419" s="21">
        <v>8.8080294117647053</v>
      </c>
      <c r="AC419" s="21">
        <v>7.8409999999999993</v>
      </c>
      <c r="AD419" s="21">
        <v>0.18020588235294116</v>
      </c>
      <c r="AE419" s="21">
        <v>0.29764705882352938</v>
      </c>
      <c r="AF419" s="21">
        <v>0.2777941176470588</v>
      </c>
      <c r="AG419" s="21">
        <v>0.4889705882352941</v>
      </c>
      <c r="AH419" s="21">
        <v>1.3292647058823528</v>
      </c>
      <c r="AI419" s="21">
        <v>0.19720588235294115</v>
      </c>
      <c r="AJ419" s="21">
        <v>3.4427058823529411</v>
      </c>
    </row>
    <row r="420" spans="1:36" x14ac:dyDescent="0.25">
      <c r="A420" s="17" t="s">
        <v>910</v>
      </c>
      <c r="B420" s="18" t="s">
        <v>911</v>
      </c>
      <c r="C420" s="19" t="s">
        <v>261</v>
      </c>
      <c r="D420" s="20" t="s">
        <v>282</v>
      </c>
      <c r="E420" s="20">
        <v>2</v>
      </c>
      <c r="F420" s="20" t="s">
        <v>713</v>
      </c>
      <c r="G420" s="20" t="s">
        <v>994</v>
      </c>
      <c r="H420" s="5">
        <f t="shared" si="6"/>
        <v>287.43944117647061</v>
      </c>
      <c r="I420" s="21">
        <v>0.15870588235294117</v>
      </c>
      <c r="J420" s="21">
        <v>0.4128235294117647</v>
      </c>
      <c r="K420" s="21">
        <v>4.3683823529411763</v>
      </c>
      <c r="L420" s="6">
        <v>0.24273529411764705</v>
      </c>
      <c r="M420" s="21">
        <v>0.50667647058823528</v>
      </c>
      <c r="N420" s="21">
        <v>62.614470588235292</v>
      </c>
      <c r="O420" s="21">
        <v>0</v>
      </c>
      <c r="P420" s="21">
        <v>3.529411764705882E-4</v>
      </c>
      <c r="Q420" s="21">
        <v>14.957882352941175</v>
      </c>
      <c r="R420" s="21">
        <v>0.56985294117647056</v>
      </c>
      <c r="S420" s="21">
        <v>9.0026764705882343</v>
      </c>
      <c r="T420" s="21">
        <v>0</v>
      </c>
      <c r="U420" s="21">
        <v>0</v>
      </c>
      <c r="V420" s="21">
        <v>90.369117647058815</v>
      </c>
      <c r="W420" s="21">
        <v>7.8700588235294111</v>
      </c>
      <c r="X420" s="21">
        <v>87.005235294117639</v>
      </c>
      <c r="Y420" s="21">
        <v>0.25555882352941173</v>
      </c>
      <c r="Z420" s="21">
        <v>4.5082352941176467</v>
      </c>
      <c r="AA420" s="21">
        <v>0.2276470588235294</v>
      </c>
      <c r="AB420" s="21">
        <v>1.7516176470588234</v>
      </c>
      <c r="AC420" s="21">
        <v>1.4826764705882349</v>
      </c>
      <c r="AD420" s="21">
        <v>2.5323529411764703E-2</v>
      </c>
      <c r="AE420" s="21">
        <v>5.7676470588235287E-2</v>
      </c>
      <c r="AF420" s="21">
        <v>5.6794117647058821E-2</v>
      </c>
      <c r="AG420" s="21">
        <v>0.13197058823529412</v>
      </c>
      <c r="AH420" s="21">
        <v>0.21414705882352938</v>
      </c>
      <c r="AI420" s="21">
        <v>3.1970588235294112E-2</v>
      </c>
      <c r="AJ420" s="21">
        <v>0.61685294117647049</v>
      </c>
    </row>
    <row r="421" spans="1:36" x14ac:dyDescent="0.25">
      <c r="A421" s="17" t="s">
        <v>912</v>
      </c>
      <c r="B421" s="18" t="s">
        <v>913</v>
      </c>
      <c r="C421" s="19" t="s">
        <v>261</v>
      </c>
      <c r="D421" s="20" t="s">
        <v>274</v>
      </c>
      <c r="E421" s="20">
        <v>2</v>
      </c>
      <c r="F421" s="20" t="s">
        <v>713</v>
      </c>
      <c r="G421" s="20" t="s">
        <v>994</v>
      </c>
      <c r="H421" s="5">
        <f t="shared" si="6"/>
        <v>335.39499999999998</v>
      </c>
      <c r="I421" s="21">
        <v>0.14855882352941174</v>
      </c>
      <c r="J421" s="21">
        <v>0.41144117647058814</v>
      </c>
      <c r="K421" s="21">
        <v>4.7386470588235294</v>
      </c>
      <c r="L421" s="6">
        <v>0.21626470588235291</v>
      </c>
      <c r="M421" s="21">
        <v>0.58899999999999997</v>
      </c>
      <c r="N421" s="21">
        <v>72.286852941176463</v>
      </c>
      <c r="O421" s="21">
        <v>0</v>
      </c>
      <c r="P421" s="21">
        <v>0</v>
      </c>
      <c r="Q421" s="21">
        <v>16.648176470588233</v>
      </c>
      <c r="R421" s="21">
        <v>0.71249999999999991</v>
      </c>
      <c r="S421" s="21">
        <v>10.818705882352941</v>
      </c>
      <c r="T421" s="21">
        <v>0</v>
      </c>
      <c r="U421" s="21">
        <v>0</v>
      </c>
      <c r="V421" s="21">
        <v>103.27164705882353</v>
      </c>
      <c r="W421" s="21">
        <v>9.3378823529411754</v>
      </c>
      <c r="X421" s="21">
        <v>104.7300882352941</v>
      </c>
      <c r="Y421" s="21">
        <v>0.3045882352941176</v>
      </c>
      <c r="Z421" s="21">
        <v>5.7000294117647057</v>
      </c>
      <c r="AA421" s="21">
        <v>0.27591176470588236</v>
      </c>
      <c r="AB421" s="21">
        <v>2.178235294117647</v>
      </c>
      <c r="AC421" s="21">
        <v>1.7360294117647059</v>
      </c>
      <c r="AD421" s="21">
        <v>4.8411764705882349E-2</v>
      </c>
      <c r="AE421" s="21">
        <v>6.8117647058823519E-2</v>
      </c>
      <c r="AF421" s="21">
        <v>5.4411764705882347E-2</v>
      </c>
      <c r="AG421" s="21">
        <v>0.11426470588235293</v>
      </c>
      <c r="AH421" s="21">
        <v>0.28988235294117642</v>
      </c>
      <c r="AI421" s="21">
        <v>3.7941176470588235E-2</v>
      </c>
      <c r="AJ421" s="21">
        <v>0.67741176470588227</v>
      </c>
    </row>
    <row r="422" spans="1:36" x14ac:dyDescent="0.25">
      <c r="A422" s="17" t="s">
        <v>914</v>
      </c>
      <c r="B422" s="18" t="s">
        <v>915</v>
      </c>
      <c r="C422" s="19" t="s">
        <v>261</v>
      </c>
      <c r="D422" s="20" t="s">
        <v>276</v>
      </c>
      <c r="E422" s="20">
        <v>2</v>
      </c>
      <c r="F422" s="20" t="s">
        <v>713</v>
      </c>
      <c r="G422" s="20" t="s">
        <v>994</v>
      </c>
      <c r="H422" s="5">
        <f t="shared" si="6"/>
        <v>375.24249999999989</v>
      </c>
      <c r="I422" s="21">
        <v>0.14211764705882352</v>
      </c>
      <c r="J422" s="21">
        <v>0.43129411764705877</v>
      </c>
      <c r="K422" s="21">
        <v>4.9809117647058825</v>
      </c>
      <c r="L422" s="6">
        <v>0.30094117647058821</v>
      </c>
      <c r="M422" s="21">
        <v>0.71394117647058819</v>
      </c>
      <c r="N422" s="21">
        <v>74.073088235294108</v>
      </c>
      <c r="O422" s="21">
        <v>0</v>
      </c>
      <c r="P422" s="21">
        <v>0</v>
      </c>
      <c r="Q422" s="21">
        <v>24.614264705882352</v>
      </c>
      <c r="R422" s="21">
        <v>0.73397058823529404</v>
      </c>
      <c r="S422" s="21">
        <v>7.9312941176470577</v>
      </c>
      <c r="T422" s="21">
        <v>0</v>
      </c>
      <c r="U422" s="21">
        <v>0</v>
      </c>
      <c r="V422" s="21">
        <v>104.48288235294117</v>
      </c>
      <c r="W422" s="21">
        <v>11.843558823529412</v>
      </c>
      <c r="X422" s="21">
        <v>131.79761764705881</v>
      </c>
      <c r="Y422" s="21">
        <v>0.23364705882352937</v>
      </c>
      <c r="Z422" s="21">
        <v>8.2221470588235288</v>
      </c>
      <c r="AA422" s="21">
        <v>0.19879411764705879</v>
      </c>
      <c r="AB422" s="21">
        <v>2.1220294117647058</v>
      </c>
      <c r="AC422" s="21">
        <v>1.470735294117647</v>
      </c>
      <c r="AD422" s="21">
        <v>4.7176470588235285E-2</v>
      </c>
      <c r="AE422" s="21">
        <v>4.2529411764705878E-2</v>
      </c>
      <c r="AF422" s="21">
        <v>3.979411764705882E-2</v>
      </c>
      <c r="AG422" s="21">
        <v>9.9735294117647061E-2</v>
      </c>
      <c r="AH422" s="21">
        <v>0.26279411764705879</v>
      </c>
      <c r="AI422" s="21">
        <v>1.3794117647058821E-2</v>
      </c>
      <c r="AJ422" s="21">
        <v>0.44344117647058817</v>
      </c>
    </row>
    <row r="423" spans="1:36" x14ac:dyDescent="0.25">
      <c r="A423" s="17" t="s">
        <v>917</v>
      </c>
      <c r="B423" s="18" t="s">
        <v>916</v>
      </c>
      <c r="C423" s="19" t="s">
        <v>261</v>
      </c>
      <c r="D423" s="20" t="s">
        <v>290</v>
      </c>
      <c r="E423" s="20">
        <v>6</v>
      </c>
      <c r="F423" s="20" t="s">
        <v>713</v>
      </c>
      <c r="G423" s="20" t="s">
        <v>994</v>
      </c>
      <c r="H423" s="5">
        <f t="shared" si="6"/>
        <v>393.72649999999993</v>
      </c>
      <c r="I423" s="21">
        <v>0.16170588235294117</v>
      </c>
      <c r="J423" s="21">
        <v>0.46376470588235286</v>
      </c>
      <c r="K423" s="21">
        <v>5.8179117647058813</v>
      </c>
      <c r="L423" s="6">
        <v>0.29067647058823526</v>
      </c>
      <c r="M423" s="21">
        <v>0.64799999999999991</v>
      </c>
      <c r="N423" s="21">
        <v>82.212411764705877</v>
      </c>
      <c r="O423" s="21">
        <v>0</v>
      </c>
      <c r="P423" s="21">
        <v>0</v>
      </c>
      <c r="Q423" s="21">
        <v>20.791029411764704</v>
      </c>
      <c r="R423" s="21">
        <v>0.76970588235294113</v>
      </c>
      <c r="S423" s="21">
        <v>12.027382352941176</v>
      </c>
      <c r="T423" s="21">
        <v>0</v>
      </c>
      <c r="U423" s="21">
        <v>0</v>
      </c>
      <c r="V423" s="21">
        <v>125.12297058823528</v>
      </c>
      <c r="W423" s="21">
        <v>10.603764705882352</v>
      </c>
      <c r="X423" s="21">
        <v>123.18802941176469</v>
      </c>
      <c r="Y423" s="21">
        <v>0.32655882352941173</v>
      </c>
      <c r="Z423" s="21">
        <v>5.397823529411764</v>
      </c>
      <c r="AA423" s="21">
        <v>0.33017647058823524</v>
      </c>
      <c r="AB423" s="21">
        <v>2.6491470588235293</v>
      </c>
      <c r="AC423" s="21">
        <v>1.7009999999999998</v>
      </c>
      <c r="AD423" s="21">
        <v>2.5852941176470585E-2</v>
      </c>
      <c r="AE423" s="21">
        <v>8.3029411764705879E-2</v>
      </c>
      <c r="AF423" s="21">
        <v>4.4382352941176463E-2</v>
      </c>
      <c r="AG423" s="21">
        <v>0.16538235294117645</v>
      </c>
      <c r="AH423" s="21">
        <v>0.28217647058823525</v>
      </c>
      <c r="AI423" s="21">
        <v>4.6382352941176465E-2</v>
      </c>
      <c r="AJ423" s="21">
        <v>0.57723529411764696</v>
      </c>
    </row>
    <row r="424" spans="1:36" x14ac:dyDescent="0.25">
      <c r="A424" s="17" t="s">
        <v>918</v>
      </c>
      <c r="B424" s="18" t="s">
        <v>919</v>
      </c>
      <c r="C424" s="19" t="s">
        <v>261</v>
      </c>
      <c r="D424" s="20" t="s">
        <v>292</v>
      </c>
      <c r="E424" s="20">
        <v>6</v>
      </c>
      <c r="F424" s="20" t="s">
        <v>713</v>
      </c>
      <c r="G424" s="20" t="s">
        <v>994</v>
      </c>
      <c r="H424" s="5">
        <f t="shared" si="6"/>
        <v>451.57085294117638</v>
      </c>
      <c r="I424" s="21">
        <v>0.20126470588235293</v>
      </c>
      <c r="J424" s="21">
        <v>0.5740294117647059</v>
      </c>
      <c r="K424" s="21">
        <v>7.3858235294117645</v>
      </c>
      <c r="L424" s="6">
        <v>0.38905882352941173</v>
      </c>
      <c r="M424" s="21">
        <v>0.62014705882352938</v>
      </c>
      <c r="N424" s="21">
        <v>101.41511764705882</v>
      </c>
      <c r="O424" s="21">
        <v>0</v>
      </c>
      <c r="P424" s="21">
        <v>3.823529411764705E-4</v>
      </c>
      <c r="Q424" s="21">
        <v>25.492529411764703</v>
      </c>
      <c r="R424" s="21">
        <v>0.78011764705882336</v>
      </c>
      <c r="S424" s="21">
        <v>17.172676470588232</v>
      </c>
      <c r="T424" s="21">
        <v>0</v>
      </c>
      <c r="U424" s="21">
        <v>0</v>
      </c>
      <c r="V424" s="21">
        <v>140.86770588235294</v>
      </c>
      <c r="W424" s="21">
        <v>11.761911764705882</v>
      </c>
      <c r="X424" s="21">
        <v>130.90611764705881</v>
      </c>
      <c r="Y424" s="21">
        <v>0.36285294117647054</v>
      </c>
      <c r="Z424" s="21">
        <v>7.159529411764705</v>
      </c>
      <c r="AA424" s="21">
        <v>0.44149999999999995</v>
      </c>
      <c r="AB424" s="21">
        <v>2.8244117647058822</v>
      </c>
      <c r="AC424" s="21">
        <v>1.9165588235294118</v>
      </c>
      <c r="AD424" s="21">
        <v>2.6558823529411763E-2</v>
      </c>
      <c r="AE424" s="21">
        <v>0.1066470588235294</v>
      </c>
      <c r="AF424" s="21">
        <v>6.5058823529411766E-2</v>
      </c>
      <c r="AG424" s="21">
        <v>0.218</v>
      </c>
      <c r="AH424" s="21">
        <v>0.26552941176470585</v>
      </c>
      <c r="AI424" s="21">
        <v>7.3705882352941163E-2</v>
      </c>
      <c r="AJ424" s="21">
        <v>0.54361764705882343</v>
      </c>
    </row>
    <row r="425" spans="1:36" x14ac:dyDescent="0.25">
      <c r="A425" s="17" t="s">
        <v>920</v>
      </c>
      <c r="B425" s="18" t="s">
        <v>921</v>
      </c>
      <c r="C425" s="19" t="s">
        <v>261</v>
      </c>
      <c r="D425" s="20" t="s">
        <v>288</v>
      </c>
      <c r="E425" s="20">
        <v>6</v>
      </c>
      <c r="F425" s="20" t="s">
        <v>713</v>
      </c>
      <c r="G425" s="20" t="s">
        <v>994</v>
      </c>
      <c r="H425" s="5">
        <f t="shared" si="6"/>
        <v>526.03691176470568</v>
      </c>
      <c r="I425" s="21">
        <v>0.21935294117647056</v>
      </c>
      <c r="J425" s="21">
        <v>0.71773529411764703</v>
      </c>
      <c r="K425" s="21">
        <v>9.846764705882352</v>
      </c>
      <c r="L425" s="6">
        <v>0.45558823529411763</v>
      </c>
      <c r="M425" s="21">
        <v>0.78776470588235292</v>
      </c>
      <c r="N425" s="21">
        <v>122.51782352941174</v>
      </c>
      <c r="O425" s="21">
        <v>0</v>
      </c>
      <c r="P425" s="21">
        <v>8.5882352941176465E-3</v>
      </c>
      <c r="Q425" s="21">
        <v>28.948647058823525</v>
      </c>
      <c r="R425" s="21">
        <v>1.0270588235294118</v>
      </c>
      <c r="S425" s="21">
        <v>22.870941176470584</v>
      </c>
      <c r="T425" s="21">
        <v>0</v>
      </c>
      <c r="U425" s="21">
        <v>0</v>
      </c>
      <c r="V425" s="21">
        <v>158.63549999999998</v>
      </c>
      <c r="W425" s="21">
        <v>13.818205882352942</v>
      </c>
      <c r="X425" s="21">
        <v>150.25835294117647</v>
      </c>
      <c r="Y425" s="21">
        <v>0.31082352941176467</v>
      </c>
      <c r="Z425" s="21">
        <v>7.7182058823529403</v>
      </c>
      <c r="AA425" s="21">
        <v>0.51755882352941174</v>
      </c>
      <c r="AB425" s="21">
        <v>3.4234999999999998</v>
      </c>
      <c r="AC425" s="21">
        <v>2.1725294117647058</v>
      </c>
      <c r="AD425" s="21">
        <v>4.4235294117647053E-2</v>
      </c>
      <c r="AE425" s="21">
        <v>0.11958823529411765</v>
      </c>
      <c r="AF425" s="21">
        <v>4.1176470588235294E-2</v>
      </c>
      <c r="AG425" s="21">
        <v>0.16752941176470587</v>
      </c>
      <c r="AH425" s="21">
        <v>0.47152941176470581</v>
      </c>
      <c r="AI425" s="21">
        <v>6.6911764705882351E-2</v>
      </c>
      <c r="AJ425" s="21">
        <v>0.871</v>
      </c>
    </row>
    <row r="426" spans="1:36" x14ac:dyDescent="0.25">
      <c r="A426" s="17" t="s">
        <v>922</v>
      </c>
      <c r="B426" s="18" t="s">
        <v>923</v>
      </c>
      <c r="C426" s="19" t="s">
        <v>261</v>
      </c>
      <c r="D426" s="20" t="s">
        <v>284</v>
      </c>
      <c r="E426" s="20">
        <v>6</v>
      </c>
      <c r="F426" s="20" t="s">
        <v>713</v>
      </c>
      <c r="G426" s="20" t="s">
        <v>994</v>
      </c>
      <c r="H426" s="5">
        <f t="shared" si="6"/>
        <v>625.90994117647051</v>
      </c>
      <c r="I426" s="21">
        <v>0.15738235294117647</v>
      </c>
      <c r="J426" s="21">
        <v>0.73347058823529399</v>
      </c>
      <c r="K426" s="21">
        <v>7.2480294117647048</v>
      </c>
      <c r="L426" s="6">
        <v>0.46135294117647058</v>
      </c>
      <c r="M426" s="21">
        <v>1.2983823529411764</v>
      </c>
      <c r="N426" s="21">
        <v>120.65994117647058</v>
      </c>
      <c r="O426" s="21">
        <v>0</v>
      </c>
      <c r="P426" s="21">
        <v>1.1617647058823529E-2</v>
      </c>
      <c r="Q426" s="21">
        <v>39.649617647058818</v>
      </c>
      <c r="R426" s="21">
        <v>1.2462647058823528</v>
      </c>
      <c r="S426" s="21">
        <v>12.965911764705881</v>
      </c>
      <c r="T426" s="21">
        <v>0</v>
      </c>
      <c r="U426" s="21">
        <v>0</v>
      </c>
      <c r="V426" s="21">
        <v>175.66170588235295</v>
      </c>
      <c r="W426" s="21">
        <v>18.385882352941174</v>
      </c>
      <c r="X426" s="21">
        <v>223.0169705882353</v>
      </c>
      <c r="Y426" s="21">
        <v>0.7360882352941176</v>
      </c>
      <c r="Z426" s="21">
        <v>14.192176470588233</v>
      </c>
      <c r="AA426" s="21">
        <v>0.41426470588235292</v>
      </c>
      <c r="AB426" s="21">
        <v>4.170264705882353</v>
      </c>
      <c r="AC426" s="21">
        <v>3.0440294117647055</v>
      </c>
      <c r="AD426" s="21">
        <v>0.11591176470588234</v>
      </c>
      <c r="AE426" s="21">
        <v>8.170588235294117E-2</v>
      </c>
      <c r="AF426" s="21">
        <v>0.17067647058823526</v>
      </c>
      <c r="AG426" s="21">
        <v>0.24647058823529411</v>
      </c>
      <c r="AH426" s="21">
        <v>0.33405882352941174</v>
      </c>
      <c r="AI426" s="21">
        <v>5.2970588235294117E-2</v>
      </c>
      <c r="AJ426" s="21">
        <v>0.8547941176470587</v>
      </c>
    </row>
    <row r="427" spans="1:36" x14ac:dyDescent="0.25">
      <c r="A427" s="17" t="s">
        <v>924</v>
      </c>
      <c r="B427" s="18" t="s">
        <v>925</v>
      </c>
      <c r="C427" s="19" t="s">
        <v>261</v>
      </c>
      <c r="D427" s="20" t="s">
        <v>286</v>
      </c>
      <c r="E427" s="20">
        <v>6</v>
      </c>
      <c r="F427" s="20" t="s">
        <v>713</v>
      </c>
      <c r="G427" s="20" t="s">
        <v>994</v>
      </c>
      <c r="H427" s="5">
        <f t="shared" si="6"/>
        <v>231.40085294117642</v>
      </c>
      <c r="I427" s="21">
        <v>0.13541176470588234</v>
      </c>
      <c r="J427" s="21">
        <v>0.38114705882352939</v>
      </c>
      <c r="K427" s="21">
        <v>4.5047941176470587</v>
      </c>
      <c r="L427" s="6">
        <v>0.17638235294117646</v>
      </c>
      <c r="M427" s="21">
        <v>0.3967941176470588</v>
      </c>
      <c r="N427" s="21">
        <v>56.477823529411758</v>
      </c>
      <c r="O427" s="21">
        <v>2.8705882352941171E-2</v>
      </c>
      <c r="P427" s="21">
        <v>4.7705882352941167E-2</v>
      </c>
      <c r="Q427" s="21">
        <v>9.2007352941176457</v>
      </c>
      <c r="R427" s="21">
        <v>0.56023529411764705</v>
      </c>
      <c r="S427" s="21">
        <v>11.404264705882353</v>
      </c>
      <c r="T427" s="21">
        <v>0</v>
      </c>
      <c r="U427" s="21">
        <v>0</v>
      </c>
      <c r="V427" s="21">
        <v>65.205470588235286</v>
      </c>
      <c r="W427" s="21">
        <v>5.2809705882352942</v>
      </c>
      <c r="X427" s="21">
        <v>70.698999999999998</v>
      </c>
      <c r="Y427" s="21">
        <v>0.11967647058823527</v>
      </c>
      <c r="Z427" s="21">
        <v>3.4916470588235291</v>
      </c>
      <c r="AA427" s="21">
        <v>0.20994117647058821</v>
      </c>
      <c r="AB427" s="21">
        <v>1.5043823529411764</v>
      </c>
      <c r="AC427" s="21">
        <v>0.87870588235294123</v>
      </c>
      <c r="AD427" s="21">
        <v>6.7058823529411752E-3</v>
      </c>
      <c r="AE427" s="21">
        <v>5.2499999999999998E-2</v>
      </c>
      <c r="AF427" s="21">
        <v>1.7441176470588234E-2</v>
      </c>
      <c r="AG427" s="21">
        <v>0.13114705882352939</v>
      </c>
      <c r="AH427" s="21">
        <v>0.17641176470588232</v>
      </c>
      <c r="AI427" s="21">
        <v>2.8588235294117643E-2</v>
      </c>
      <c r="AJ427" s="21">
        <v>0.28426470588235292</v>
      </c>
    </row>
    <row r="428" spans="1:36" x14ac:dyDescent="0.25">
      <c r="A428" s="17" t="s">
        <v>926</v>
      </c>
      <c r="B428" s="18" t="s">
        <v>927</v>
      </c>
      <c r="C428" s="19" t="s">
        <v>261</v>
      </c>
      <c r="D428" s="20" t="s">
        <v>262</v>
      </c>
      <c r="E428" s="20">
        <v>0</v>
      </c>
      <c r="F428" s="20" t="s">
        <v>744</v>
      </c>
      <c r="G428" s="20" t="s">
        <v>994</v>
      </c>
      <c r="H428" s="5">
        <f t="shared" si="6"/>
        <v>115.87011764705881</v>
      </c>
      <c r="I428" s="21">
        <v>9.9647058823529408E-2</v>
      </c>
      <c r="J428" s="21">
        <v>0.32341176470588234</v>
      </c>
      <c r="K428" s="21">
        <v>4.0324411764705879</v>
      </c>
      <c r="L428" s="6">
        <v>0.23941176470588232</v>
      </c>
      <c r="M428" s="21">
        <v>8.4852941176470589E-2</v>
      </c>
      <c r="N428" s="21">
        <v>29.80841176470588</v>
      </c>
      <c r="O428" s="21">
        <v>0</v>
      </c>
      <c r="P428" s="21">
        <v>0</v>
      </c>
      <c r="Q428" s="21">
        <v>6.3412647058823524</v>
      </c>
      <c r="R428" s="21">
        <v>0.12176470588235293</v>
      </c>
      <c r="S428" s="21">
        <v>7.9459999999999988</v>
      </c>
      <c r="T428" s="21">
        <v>0</v>
      </c>
      <c r="U428" s="21">
        <v>0</v>
      </c>
      <c r="V428" s="21">
        <v>36.135147058823527</v>
      </c>
      <c r="W428" s="21">
        <v>2.229411764705882</v>
      </c>
      <c r="X428" s="21">
        <v>24.833323529411761</v>
      </c>
      <c r="Y428" s="21">
        <v>3.1852941176470584E-2</v>
      </c>
      <c r="Z428" s="21">
        <v>0.74626470588235294</v>
      </c>
      <c r="AA428" s="21">
        <v>0.48026470588235287</v>
      </c>
      <c r="AB428" s="21">
        <v>0.61835294117647055</v>
      </c>
      <c r="AC428" s="21">
        <v>1.1227941176470586</v>
      </c>
      <c r="AD428" s="21">
        <v>5.2941176470588231E-4</v>
      </c>
      <c r="AE428" s="21">
        <v>8.8735294117647051E-2</v>
      </c>
      <c r="AF428" s="21">
        <v>1.2588235294117647E-2</v>
      </c>
      <c r="AG428" s="21">
        <v>0.12447058823529412</v>
      </c>
      <c r="AH428" s="21">
        <v>7.2794117647058815E-2</v>
      </c>
      <c r="AI428" s="21">
        <v>4.8823529411764703E-2</v>
      </c>
      <c r="AJ428" s="21">
        <v>0.32755882352941174</v>
      </c>
    </row>
    <row r="429" spans="1:36" x14ac:dyDescent="0.25">
      <c r="A429" s="17" t="s">
        <v>928</v>
      </c>
      <c r="B429" s="18" t="s">
        <v>929</v>
      </c>
      <c r="C429" s="19" t="s">
        <v>261</v>
      </c>
      <c r="D429" s="20" t="s">
        <v>268</v>
      </c>
      <c r="E429" s="20">
        <v>1</v>
      </c>
      <c r="F429" s="20" t="s">
        <v>744</v>
      </c>
      <c r="G429" s="20" t="s">
        <v>994</v>
      </c>
      <c r="H429" s="5">
        <f t="shared" si="6"/>
        <v>167.85955882352945</v>
      </c>
      <c r="I429" s="21">
        <v>0.19208823529411764</v>
      </c>
      <c r="J429" s="21">
        <v>0.42129411764705882</v>
      </c>
      <c r="K429" s="21">
        <v>4.5861470588235296</v>
      </c>
      <c r="L429" s="6">
        <v>0.12514705882352939</v>
      </c>
      <c r="M429" s="21">
        <v>0.13335294117647056</v>
      </c>
      <c r="N429" s="21">
        <v>52.01814705882353</v>
      </c>
      <c r="O429" s="21">
        <v>0</v>
      </c>
      <c r="P429" s="21">
        <v>1.3029411764705881E-2</v>
      </c>
      <c r="Q429" s="21">
        <v>7.0531470588235292</v>
      </c>
      <c r="R429" s="21">
        <v>0.2071764705882353</v>
      </c>
      <c r="S429" s="21">
        <v>14.452147058823529</v>
      </c>
      <c r="T429" s="21">
        <v>0</v>
      </c>
      <c r="U429" s="21">
        <v>0</v>
      </c>
      <c r="V429" s="21">
        <v>44.822352941176462</v>
      </c>
      <c r="W429" s="21">
        <v>2.7075882352941174</v>
      </c>
      <c r="X429" s="21">
        <v>35.856117647058817</v>
      </c>
      <c r="Y429" s="21">
        <v>6.8147058823529408E-2</v>
      </c>
      <c r="Z429" s="21">
        <v>1.6202941176470584</v>
      </c>
      <c r="AA429" s="21">
        <v>0.6728235294117646</v>
      </c>
      <c r="AB429" s="21">
        <v>0.67888235294117638</v>
      </c>
      <c r="AC429" s="21">
        <v>1.4764117647058821</v>
      </c>
      <c r="AD429" s="21">
        <v>7.8529411764705886E-3</v>
      </c>
      <c r="AE429" s="21">
        <v>8.7058823529411758E-2</v>
      </c>
      <c r="AF429" s="21">
        <v>1.8529411764705881E-2</v>
      </c>
      <c r="AG429" s="21">
        <v>0.15820588235294117</v>
      </c>
      <c r="AH429" s="21">
        <v>8.8588235294117648E-2</v>
      </c>
      <c r="AI429" s="21">
        <v>3.1029411764705882E-2</v>
      </c>
      <c r="AJ429" s="21">
        <v>0.36399999999999993</v>
      </c>
    </row>
    <row r="430" spans="1:36" x14ac:dyDescent="0.25">
      <c r="A430" s="17" t="s">
        <v>930</v>
      </c>
      <c r="B430" s="18" t="s">
        <v>931</v>
      </c>
      <c r="C430" s="19" t="s">
        <v>261</v>
      </c>
      <c r="D430" s="20" t="s">
        <v>270</v>
      </c>
      <c r="E430" s="20">
        <v>1</v>
      </c>
      <c r="F430" s="20" t="s">
        <v>744</v>
      </c>
      <c r="G430" s="20" t="s">
        <v>994</v>
      </c>
      <c r="H430" s="5">
        <f t="shared" si="6"/>
        <v>204.21135294117644</v>
      </c>
      <c r="I430" s="21">
        <v>0.17738235294117646</v>
      </c>
      <c r="J430" s="21">
        <v>0.38161764705882351</v>
      </c>
      <c r="K430" s="21">
        <v>4.2752941176470589</v>
      </c>
      <c r="L430" s="6">
        <v>0.21026470588235291</v>
      </c>
      <c r="M430" s="21">
        <v>0.2064705882352941</v>
      </c>
      <c r="N430" s="21">
        <v>48.059941176470581</v>
      </c>
      <c r="O430" s="21">
        <v>8.6823529411764702E-2</v>
      </c>
      <c r="P430" s="21">
        <v>0.1336470588235294</v>
      </c>
      <c r="Q430" s="21">
        <v>7.4080882352941169</v>
      </c>
      <c r="R430" s="21">
        <v>0.31464705882352939</v>
      </c>
      <c r="S430" s="21">
        <v>11.597176470588234</v>
      </c>
      <c r="T430" s="21">
        <v>0</v>
      </c>
      <c r="U430" s="21">
        <v>2.9941176470588231E-2</v>
      </c>
      <c r="V430" s="21">
        <v>56.448852941176462</v>
      </c>
      <c r="W430" s="21">
        <v>3.1091176470588229</v>
      </c>
      <c r="X430" s="21">
        <v>61.829647058823518</v>
      </c>
      <c r="Y430" s="21">
        <v>0.16894117647058821</v>
      </c>
      <c r="Z430" s="21">
        <v>2.6828529411764706</v>
      </c>
      <c r="AA430" s="21">
        <v>1.0498823529411765</v>
      </c>
      <c r="AB430" s="21">
        <v>2.2284117647058821</v>
      </c>
      <c r="AC430" s="21">
        <v>2.0760882352941175</v>
      </c>
      <c r="AD430" s="21">
        <v>2.4529411764705879E-2</v>
      </c>
      <c r="AE430" s="21">
        <v>0.19023529411764706</v>
      </c>
      <c r="AF430" s="21">
        <v>4.1382352941176467E-2</v>
      </c>
      <c r="AG430" s="21">
        <v>0.32999999999999996</v>
      </c>
      <c r="AH430" s="21">
        <v>0.19117647058823528</v>
      </c>
      <c r="AI430" s="21">
        <v>5.3058823529411762E-2</v>
      </c>
      <c r="AJ430" s="21">
        <v>0.90588235294117636</v>
      </c>
    </row>
    <row r="431" spans="1:36" x14ac:dyDescent="0.25">
      <c r="A431" s="17" t="s">
        <v>932</v>
      </c>
      <c r="B431" s="18" t="s">
        <v>933</v>
      </c>
      <c r="C431" s="19" t="s">
        <v>261</v>
      </c>
      <c r="D431" s="20" t="s">
        <v>272</v>
      </c>
      <c r="E431" s="20">
        <v>1</v>
      </c>
      <c r="F431" s="20" t="s">
        <v>744</v>
      </c>
      <c r="G431" s="20" t="s">
        <v>994</v>
      </c>
      <c r="H431" s="5">
        <f t="shared" si="6"/>
        <v>171.79597058823529</v>
      </c>
      <c r="I431" s="21">
        <v>0.13976470588235293</v>
      </c>
      <c r="J431" s="21">
        <v>0.3820294117647059</v>
      </c>
      <c r="K431" s="21">
        <v>4.9066176470588232</v>
      </c>
      <c r="L431" s="6">
        <v>0.24644117647058822</v>
      </c>
      <c r="M431" s="21">
        <v>0.11188235294117646</v>
      </c>
      <c r="N431" s="21">
        <v>33.475411764705882</v>
      </c>
      <c r="O431" s="21">
        <v>7.2147058823529411E-2</v>
      </c>
      <c r="P431" s="21">
        <v>4.3558823529411761E-2</v>
      </c>
      <c r="Q431" s="21">
        <v>6.980029411764705</v>
      </c>
      <c r="R431" s="21">
        <v>0.20288235294117646</v>
      </c>
      <c r="S431" s="21">
        <v>12.433147058823527</v>
      </c>
      <c r="T431" s="21">
        <v>0</v>
      </c>
      <c r="U431" s="21">
        <v>0</v>
      </c>
      <c r="V431" s="21">
        <v>60.281999999999996</v>
      </c>
      <c r="W431" s="21">
        <v>3.821764705882353</v>
      </c>
      <c r="X431" s="21">
        <v>42.304999999999993</v>
      </c>
      <c r="Y431" s="21">
        <v>5.4823529411764702E-2</v>
      </c>
      <c r="Z431" s="21">
        <v>1.2644999999999997</v>
      </c>
      <c r="AA431" s="21">
        <v>0.83238235294117635</v>
      </c>
      <c r="AB431" s="21">
        <v>1.2393235294117646</v>
      </c>
      <c r="AC431" s="21">
        <v>1.8774117647058821</v>
      </c>
      <c r="AD431" s="21">
        <v>6.6470588235294104E-3</v>
      </c>
      <c r="AE431" s="21">
        <v>0.15567647058823528</v>
      </c>
      <c r="AF431" s="21">
        <v>2.7264705882352941E-2</v>
      </c>
      <c r="AG431" s="21">
        <v>0.18355882352941175</v>
      </c>
      <c r="AH431" s="21">
        <v>0.14858823529411763</v>
      </c>
      <c r="AI431" s="21">
        <v>5.9499999999999997E-2</v>
      </c>
      <c r="AJ431" s="21">
        <v>0.54361764705882343</v>
      </c>
    </row>
    <row r="432" spans="1:36" x14ac:dyDescent="0.25">
      <c r="A432" s="17" t="s">
        <v>934</v>
      </c>
      <c r="B432" s="18" t="s">
        <v>935</v>
      </c>
      <c r="C432" s="19" t="s">
        <v>261</v>
      </c>
      <c r="D432" s="20" t="s">
        <v>264</v>
      </c>
      <c r="E432" s="20">
        <v>1</v>
      </c>
      <c r="F432" s="20" t="s">
        <v>744</v>
      </c>
      <c r="G432" s="20" t="s">
        <v>994</v>
      </c>
      <c r="H432" s="5">
        <f t="shared" si="6"/>
        <v>280.30370588235292</v>
      </c>
      <c r="I432" s="21">
        <v>0.2135</v>
      </c>
      <c r="J432" s="21">
        <v>0.68291176470588233</v>
      </c>
      <c r="K432" s="21">
        <v>10.025382352941175</v>
      </c>
      <c r="L432" s="6">
        <v>0.98073529411764704</v>
      </c>
      <c r="M432" s="21">
        <v>0.22847058823529409</v>
      </c>
      <c r="N432" s="21">
        <v>66.785882352941172</v>
      </c>
      <c r="O432" s="21">
        <v>0</v>
      </c>
      <c r="P432" s="21">
        <v>0</v>
      </c>
      <c r="Q432" s="21">
        <v>26.141029411764706</v>
      </c>
      <c r="R432" s="21">
        <v>0.23238235294117646</v>
      </c>
      <c r="S432" s="21">
        <v>10.353764705882352</v>
      </c>
      <c r="T432" s="21">
        <v>0</v>
      </c>
      <c r="U432" s="21">
        <v>0</v>
      </c>
      <c r="V432" s="21">
        <v>85.982764705882346</v>
      </c>
      <c r="W432" s="21">
        <v>7.3037941176470591</v>
      </c>
      <c r="X432" s="21">
        <v>62.932058823529403</v>
      </c>
      <c r="Y432" s="21">
        <v>0.13023529411764706</v>
      </c>
      <c r="Z432" s="21">
        <v>2.5575588235294116</v>
      </c>
      <c r="AA432" s="21">
        <v>0.70144117647058823</v>
      </c>
      <c r="AB432" s="21">
        <v>1.8612941176470585</v>
      </c>
      <c r="AC432" s="21">
        <v>1.8382647058823527</v>
      </c>
      <c r="AD432" s="21">
        <v>3.8382352941176472E-2</v>
      </c>
      <c r="AE432" s="21">
        <v>0.12370588235294117</v>
      </c>
      <c r="AF432" s="21">
        <v>4.3941176470588234E-2</v>
      </c>
      <c r="AG432" s="21">
        <v>0.26049999999999995</v>
      </c>
      <c r="AH432" s="21">
        <v>0.20220588235294118</v>
      </c>
      <c r="AI432" s="21">
        <v>5.5117647058823521E-2</v>
      </c>
      <c r="AJ432" s="21">
        <v>0.62838235294117639</v>
      </c>
    </row>
    <row r="433" spans="1:36" x14ac:dyDescent="0.25">
      <c r="A433" s="17" t="s">
        <v>936</v>
      </c>
      <c r="B433" s="18" t="s">
        <v>937</v>
      </c>
      <c r="C433" s="19" t="s">
        <v>261</v>
      </c>
      <c r="D433" s="20" t="s">
        <v>266</v>
      </c>
      <c r="E433" s="20">
        <v>1</v>
      </c>
      <c r="F433" s="20" t="s">
        <v>744</v>
      </c>
      <c r="G433" s="20" t="s">
        <v>994</v>
      </c>
      <c r="H433" s="5">
        <f t="shared" si="6"/>
        <v>181.48235294117646</v>
      </c>
      <c r="I433" s="21">
        <v>0.13017647058823528</v>
      </c>
      <c r="J433" s="21">
        <v>0.6535294117647058</v>
      </c>
      <c r="K433" s="21">
        <v>3.986735294117647</v>
      </c>
      <c r="L433" s="6">
        <v>0.18591176470588233</v>
      </c>
      <c r="M433" s="21">
        <v>0.15447058823529411</v>
      </c>
      <c r="N433" s="21">
        <v>33.649264705882352</v>
      </c>
      <c r="O433" s="21">
        <v>6.1588235294117645E-2</v>
      </c>
      <c r="P433" s="21">
        <v>4.5382352941176464E-2</v>
      </c>
      <c r="Q433" s="21">
        <v>4.5374117647058823</v>
      </c>
      <c r="R433" s="21">
        <v>0.31449999999999995</v>
      </c>
      <c r="S433" s="21">
        <v>14.425470588235292</v>
      </c>
      <c r="T433" s="21">
        <v>0</v>
      </c>
      <c r="U433" s="21">
        <v>2.1176470588235293E-2</v>
      </c>
      <c r="V433" s="21">
        <v>60.154205882352933</v>
      </c>
      <c r="W433" s="21">
        <v>3.906441176470588</v>
      </c>
      <c r="X433" s="21">
        <v>50.950764705882349</v>
      </c>
      <c r="Y433" s="21">
        <v>8.0823529411764697E-2</v>
      </c>
      <c r="Z433" s="21">
        <v>1.607441176470588</v>
      </c>
      <c r="AA433" s="21">
        <v>0.67241176470588226</v>
      </c>
      <c r="AB433" s="21">
        <v>1.6478235294117645</v>
      </c>
      <c r="AC433" s="21">
        <v>2.3936764705882352</v>
      </c>
      <c r="AD433" s="21">
        <v>2.1647058823529412E-2</v>
      </c>
      <c r="AE433" s="21">
        <v>0.17435294117647057</v>
      </c>
      <c r="AF433" s="21">
        <v>2.9647058823529412E-2</v>
      </c>
      <c r="AG433" s="21">
        <v>0.2605294117647059</v>
      </c>
      <c r="AH433" s="21">
        <v>0.25</v>
      </c>
      <c r="AI433" s="21">
        <v>0.12535294117647058</v>
      </c>
      <c r="AJ433" s="21">
        <v>1.0416176470588234</v>
      </c>
    </row>
    <row r="434" spans="1:36" x14ac:dyDescent="0.25">
      <c r="A434" s="17" t="s">
        <v>938</v>
      </c>
      <c r="B434" s="18" t="s">
        <v>939</v>
      </c>
      <c r="C434" s="19" t="s">
        <v>261</v>
      </c>
      <c r="D434" s="20" t="s">
        <v>278</v>
      </c>
      <c r="E434" s="20">
        <v>2</v>
      </c>
      <c r="F434" s="20" t="s">
        <v>744</v>
      </c>
      <c r="G434" s="20" t="s">
        <v>994</v>
      </c>
      <c r="H434" s="5">
        <f t="shared" si="6"/>
        <v>129.18099999999998</v>
      </c>
      <c r="I434" s="21">
        <v>0.14341176470588232</v>
      </c>
      <c r="J434" s="21">
        <v>0.28852941176470587</v>
      </c>
      <c r="K434" s="21">
        <v>2.5031764705882349</v>
      </c>
      <c r="L434" s="6">
        <v>0.10361764705882351</v>
      </c>
      <c r="M434" s="21">
        <v>0.12049999999999998</v>
      </c>
      <c r="N434" s="21">
        <v>26.244264705882351</v>
      </c>
      <c r="O434" s="21">
        <v>3.4735294117647052E-2</v>
      </c>
      <c r="P434" s="21">
        <v>8.461764705882352E-2</v>
      </c>
      <c r="Q434" s="21">
        <v>3.5160294117647055</v>
      </c>
      <c r="R434" s="21">
        <v>0.21467647058823527</v>
      </c>
      <c r="S434" s="21">
        <v>7.7305294117647048</v>
      </c>
      <c r="T434" s="21">
        <v>0</v>
      </c>
      <c r="U434" s="21">
        <v>1.9705882352941177E-2</v>
      </c>
      <c r="V434" s="21">
        <v>37.587588235294113</v>
      </c>
      <c r="W434" s="21">
        <v>2.3470882352941174</v>
      </c>
      <c r="X434" s="21">
        <v>42.251558823529408</v>
      </c>
      <c r="Y434" s="21">
        <v>7.4029411764705885E-2</v>
      </c>
      <c r="Z434" s="21">
        <v>1.2845588235294116</v>
      </c>
      <c r="AA434" s="21">
        <v>0.69638235294117645</v>
      </c>
      <c r="AB434" s="21">
        <v>1.4312647058823529</v>
      </c>
      <c r="AC434" s="21">
        <v>1.4096176470588233</v>
      </c>
      <c r="AD434" s="21">
        <v>8.6764705882352924E-3</v>
      </c>
      <c r="AE434" s="21">
        <v>0.13717647058823529</v>
      </c>
      <c r="AF434" s="21">
        <v>2.0323529411764706E-2</v>
      </c>
      <c r="AG434" s="21">
        <v>0.24099999999999996</v>
      </c>
      <c r="AH434" s="21">
        <v>0.12373529411764705</v>
      </c>
      <c r="AI434" s="21">
        <v>4.6411764705882347E-2</v>
      </c>
      <c r="AJ434" s="21">
        <v>0.51779411764705885</v>
      </c>
    </row>
    <row r="435" spans="1:36" x14ac:dyDescent="0.25">
      <c r="A435" s="17" t="s">
        <v>940</v>
      </c>
      <c r="B435" s="18" t="s">
        <v>941</v>
      </c>
      <c r="C435" s="19" t="s">
        <v>261</v>
      </c>
      <c r="D435" s="20" t="s">
        <v>280</v>
      </c>
      <c r="E435" s="20">
        <v>2</v>
      </c>
      <c r="F435" s="20" t="s">
        <v>744</v>
      </c>
      <c r="G435" s="20" t="s">
        <v>994</v>
      </c>
      <c r="H435" s="5">
        <f t="shared" si="6"/>
        <v>147.97791176470588</v>
      </c>
      <c r="I435" s="21">
        <v>0.15347058823529411</v>
      </c>
      <c r="J435" s="21">
        <v>0.31555882352941172</v>
      </c>
      <c r="K435" s="21">
        <v>3.1741764705882352</v>
      </c>
      <c r="L435" s="6">
        <v>9.6294117647058808E-2</v>
      </c>
      <c r="M435" s="21">
        <v>0.1336470588235294</v>
      </c>
      <c r="N435" s="21">
        <v>27.299735294117646</v>
      </c>
      <c r="O435" s="21">
        <v>0.22467647058823528</v>
      </c>
      <c r="P435" s="21">
        <v>0.23920588235294116</v>
      </c>
      <c r="Q435" s="21">
        <v>3.5721470588235293</v>
      </c>
      <c r="R435" s="21">
        <v>0.23502941176470585</v>
      </c>
      <c r="S435" s="21">
        <v>10.293294117647058</v>
      </c>
      <c r="T435" s="21">
        <v>0</v>
      </c>
      <c r="U435" s="21">
        <v>1.1264705882352941E-2</v>
      </c>
      <c r="V435" s="21">
        <v>52.737382352941175</v>
      </c>
      <c r="W435" s="21">
        <v>3.1835588235294119</v>
      </c>
      <c r="X435" s="21">
        <v>40.247470588235288</v>
      </c>
      <c r="Y435" s="21">
        <v>8.7823529411764703E-2</v>
      </c>
      <c r="Z435" s="21">
        <v>1.1163235294117646</v>
      </c>
      <c r="AA435" s="21">
        <v>0.65579411764705875</v>
      </c>
      <c r="AB435" s="21">
        <v>1.1637647058823528</v>
      </c>
      <c r="AC435" s="21">
        <v>1.9782941176470588</v>
      </c>
      <c r="AD435" s="21">
        <v>1.2705882352941176E-2</v>
      </c>
      <c r="AE435" s="21">
        <v>0.10847058823529412</v>
      </c>
      <c r="AF435" s="21">
        <v>2.4617647058823529E-2</v>
      </c>
      <c r="AG435" s="21">
        <v>0.17785294117647057</v>
      </c>
      <c r="AH435" s="21">
        <v>0.16902941176470587</v>
      </c>
      <c r="AI435" s="21">
        <v>4.7823529411764702E-2</v>
      </c>
      <c r="AJ435" s="21">
        <v>0.51849999999999996</v>
      </c>
    </row>
    <row r="436" spans="1:36" x14ac:dyDescent="0.25">
      <c r="A436" s="17" t="s">
        <v>942</v>
      </c>
      <c r="B436" s="18" t="s">
        <v>943</v>
      </c>
      <c r="C436" s="19" t="s">
        <v>261</v>
      </c>
      <c r="D436" s="20" t="s">
        <v>282</v>
      </c>
      <c r="E436" s="20">
        <v>2</v>
      </c>
      <c r="F436" s="20" t="s">
        <v>744</v>
      </c>
      <c r="G436" s="20" t="s">
        <v>994</v>
      </c>
      <c r="H436" s="5">
        <f t="shared" si="6"/>
        <v>153.67370588235292</v>
      </c>
      <c r="I436" s="21">
        <v>0.15979411764705881</v>
      </c>
      <c r="J436" s="21">
        <v>0.33938235294117647</v>
      </c>
      <c r="K436" s="21">
        <v>3.6676764705882348</v>
      </c>
      <c r="L436" s="6">
        <v>0.13373529411764704</v>
      </c>
      <c r="M436" s="21">
        <v>0.11508823529411763</v>
      </c>
      <c r="N436" s="21">
        <v>31.248264705882349</v>
      </c>
      <c r="O436" s="21">
        <v>0.21820588235294117</v>
      </c>
      <c r="P436" s="21">
        <v>0.21614705882352939</v>
      </c>
      <c r="Q436" s="21">
        <v>4.7447647058823526</v>
      </c>
      <c r="R436" s="21">
        <v>0.20308823529411762</v>
      </c>
      <c r="S436" s="21">
        <v>10.933352941176469</v>
      </c>
      <c r="T436" s="21">
        <v>0</v>
      </c>
      <c r="U436" s="21">
        <v>1.0441176470588235E-2</v>
      </c>
      <c r="V436" s="21">
        <v>55.484235294117646</v>
      </c>
      <c r="W436" s="21">
        <v>3.148117647058823</v>
      </c>
      <c r="X436" s="21">
        <v>37.47491176470588</v>
      </c>
      <c r="Y436" s="21">
        <v>6.4176470588235293E-2</v>
      </c>
      <c r="Z436" s="21">
        <v>0.90558823529411758</v>
      </c>
      <c r="AA436" s="21">
        <v>0.68138235294117633</v>
      </c>
      <c r="AB436" s="21">
        <v>1.0017941176470588</v>
      </c>
      <c r="AC436" s="21">
        <v>1.8654999999999999</v>
      </c>
      <c r="AD436" s="21">
        <v>6.7352941176470581E-3</v>
      </c>
      <c r="AE436" s="21">
        <v>0.13502941176470587</v>
      </c>
      <c r="AF436" s="21">
        <v>1.5852941176470587E-2</v>
      </c>
      <c r="AG436" s="21">
        <v>0.1959411764705882</v>
      </c>
      <c r="AH436" s="21">
        <v>0.13205882352941176</v>
      </c>
      <c r="AI436" s="21">
        <v>5.9323529411764706E-2</v>
      </c>
      <c r="AJ436" s="21">
        <v>0.51311764705882346</v>
      </c>
    </row>
    <row r="437" spans="1:36" x14ac:dyDescent="0.25">
      <c r="A437" s="17" t="s">
        <v>944</v>
      </c>
      <c r="B437" s="18" t="s">
        <v>945</v>
      </c>
      <c r="C437" s="19" t="s">
        <v>261</v>
      </c>
      <c r="D437" s="20" t="s">
        <v>274</v>
      </c>
      <c r="E437" s="20">
        <v>2</v>
      </c>
      <c r="F437" s="20" t="s">
        <v>744</v>
      </c>
      <c r="G437" s="20" t="s">
        <v>994</v>
      </c>
      <c r="H437" s="5">
        <f t="shared" si="6"/>
        <v>183.23717647058822</v>
      </c>
      <c r="I437" s="21">
        <v>0.15105882352941177</v>
      </c>
      <c r="J437" s="21">
        <v>0.38664705882352934</v>
      </c>
      <c r="K437" s="21">
        <v>4.7547647058823523</v>
      </c>
      <c r="L437" s="6">
        <v>0.21947058823529411</v>
      </c>
      <c r="M437" s="21">
        <v>0.14849999999999999</v>
      </c>
      <c r="N437" s="21">
        <v>38.027264705882352</v>
      </c>
      <c r="O437" s="21">
        <v>0.18688235294117644</v>
      </c>
      <c r="P437" s="21">
        <v>0.27270588235294113</v>
      </c>
      <c r="Q437" s="21">
        <v>5.818411764705882</v>
      </c>
      <c r="R437" s="21">
        <v>0.26835294117647057</v>
      </c>
      <c r="S437" s="21">
        <v>12.59320588235294</v>
      </c>
      <c r="T437" s="21">
        <v>2.423529411764706E-2</v>
      </c>
      <c r="U437" s="21">
        <v>3.4823529411764705E-2</v>
      </c>
      <c r="V437" s="21">
        <v>62.367499999999993</v>
      </c>
      <c r="W437" s="21">
        <v>3.813794117647058</v>
      </c>
      <c r="X437" s="21">
        <v>46.871205882352939</v>
      </c>
      <c r="Y437" s="21">
        <v>7.0676470588235285E-2</v>
      </c>
      <c r="Z437" s="21">
        <v>1.5070882352941177</v>
      </c>
      <c r="AA437" s="21">
        <v>0.65614705882352942</v>
      </c>
      <c r="AB437" s="21">
        <v>1.23</v>
      </c>
      <c r="AC437" s="21">
        <v>2.2878529411764701</v>
      </c>
      <c r="AD437" s="21">
        <v>1.0999999999999999E-2</v>
      </c>
      <c r="AE437" s="21">
        <v>0.1481764705882353</v>
      </c>
      <c r="AF437" s="21">
        <v>2.5147058823529411E-2</v>
      </c>
      <c r="AG437" s="21">
        <v>0.26749999999999996</v>
      </c>
      <c r="AH437" s="21">
        <v>0.19414705882352939</v>
      </c>
      <c r="AI437" s="21">
        <v>6.7911764705882352E-2</v>
      </c>
      <c r="AJ437" s="21">
        <v>0.83270588235294107</v>
      </c>
    </row>
    <row r="438" spans="1:36" x14ac:dyDescent="0.25">
      <c r="A438" s="17" t="s">
        <v>946</v>
      </c>
      <c r="B438" s="18" t="s">
        <v>947</v>
      </c>
      <c r="C438" s="19" t="s">
        <v>261</v>
      </c>
      <c r="D438" s="20" t="s">
        <v>276</v>
      </c>
      <c r="E438" s="20">
        <v>2</v>
      </c>
      <c r="F438" s="20" t="s">
        <v>744</v>
      </c>
      <c r="G438" s="20" t="s">
        <v>994</v>
      </c>
      <c r="H438" s="5">
        <f t="shared" si="6"/>
        <v>335.1899411764706</v>
      </c>
      <c r="I438" s="21">
        <v>0.29223529411764704</v>
      </c>
      <c r="J438" s="21">
        <v>0.73773529411764704</v>
      </c>
      <c r="K438" s="21">
        <v>11.382147058823529</v>
      </c>
      <c r="L438" s="6">
        <v>0.89488235294117635</v>
      </c>
      <c r="M438" s="21">
        <v>0.29191176470588237</v>
      </c>
      <c r="N438" s="21">
        <v>78.494441176470588</v>
      </c>
      <c r="O438" s="21">
        <v>5.0588235294117642E-2</v>
      </c>
      <c r="P438" s="21">
        <v>5.726470588235294E-2</v>
      </c>
      <c r="Q438" s="21">
        <v>28.395823529411761</v>
      </c>
      <c r="R438" s="21">
        <v>0.31797058823529406</v>
      </c>
      <c r="S438" s="21">
        <v>13.689794117647059</v>
      </c>
      <c r="T438" s="21">
        <v>0</v>
      </c>
      <c r="U438" s="21">
        <v>8.6470588235294105E-3</v>
      </c>
      <c r="V438" s="21">
        <v>105.8930294117647</v>
      </c>
      <c r="W438" s="21">
        <v>10.076676470588234</v>
      </c>
      <c r="X438" s="21">
        <v>74.596558823529406</v>
      </c>
      <c r="Y438" s="21">
        <v>9.2264705882352943E-2</v>
      </c>
      <c r="Z438" s="21">
        <v>3.3022941176470582</v>
      </c>
      <c r="AA438" s="21">
        <v>0.90779411764705864</v>
      </c>
      <c r="AB438" s="21">
        <v>2.4575588235294115</v>
      </c>
      <c r="AC438" s="21">
        <v>1.8655588235294116</v>
      </c>
      <c r="AD438" s="21">
        <v>1.9794117647058823E-2</v>
      </c>
      <c r="AE438" s="21">
        <v>0.13511764705882354</v>
      </c>
      <c r="AF438" s="21">
        <v>2.1617647058823526E-2</v>
      </c>
      <c r="AG438" s="21">
        <v>0.32470588235294112</v>
      </c>
      <c r="AH438" s="21">
        <v>0.2551176470588235</v>
      </c>
      <c r="AI438" s="21">
        <v>6.5735294117647045E-2</v>
      </c>
      <c r="AJ438" s="21">
        <v>0.56267647058823522</v>
      </c>
    </row>
    <row r="439" spans="1:36" x14ac:dyDescent="0.25">
      <c r="A439" s="17" t="s">
        <v>948</v>
      </c>
      <c r="B439" s="18" t="s">
        <v>949</v>
      </c>
      <c r="C439" s="19" t="s">
        <v>261</v>
      </c>
      <c r="D439" s="20" t="s">
        <v>290</v>
      </c>
      <c r="E439" s="20">
        <v>6</v>
      </c>
      <c r="F439" s="20" t="s">
        <v>744</v>
      </c>
      <c r="G439" s="20" t="s">
        <v>994</v>
      </c>
      <c r="H439" s="5">
        <f t="shared" si="6"/>
        <v>207.45476470588235</v>
      </c>
      <c r="I439" s="21">
        <v>0.18426470588235291</v>
      </c>
      <c r="J439" s="21">
        <v>0.61514705882352938</v>
      </c>
      <c r="K439" s="21">
        <v>5.4590588235294115</v>
      </c>
      <c r="L439" s="6">
        <v>0.16529411764705881</v>
      </c>
      <c r="M439" s="21">
        <v>0.23294117647058823</v>
      </c>
      <c r="N439" s="21">
        <v>41.29697058823529</v>
      </c>
      <c r="O439" s="21">
        <v>0.36049999999999999</v>
      </c>
      <c r="P439" s="21">
        <v>0.45282352941176474</v>
      </c>
      <c r="Q439" s="21">
        <v>5.3092058823529404</v>
      </c>
      <c r="R439" s="21">
        <v>0.35241176470588231</v>
      </c>
      <c r="S439" s="21">
        <v>14.520588235294117</v>
      </c>
      <c r="T439" s="21">
        <v>3.3529411764705884E-2</v>
      </c>
      <c r="U439" s="21">
        <v>6.7911764705882352E-2</v>
      </c>
      <c r="V439" s="21">
        <v>72.764558823529413</v>
      </c>
      <c r="W439" s="21">
        <v>4.2844999999999995</v>
      </c>
      <c r="X439" s="21">
        <v>53.504588235294108</v>
      </c>
      <c r="Y439" s="21">
        <v>0.10291176470588234</v>
      </c>
      <c r="Z439" s="21">
        <v>1.4911764705882351</v>
      </c>
      <c r="AA439" s="21">
        <v>0.92717647058823527</v>
      </c>
      <c r="AB439" s="21">
        <v>1.6066176470588234</v>
      </c>
      <c r="AC439" s="21">
        <v>2.3752647058823531</v>
      </c>
      <c r="AD439" s="21">
        <v>1.817647058823529E-2</v>
      </c>
      <c r="AE439" s="21">
        <v>0.17926470588235291</v>
      </c>
      <c r="AF439" s="21">
        <v>3.5647058823529414E-2</v>
      </c>
      <c r="AG439" s="21">
        <v>0.24338235294117647</v>
      </c>
      <c r="AH439" s="21">
        <v>0.20561764705882352</v>
      </c>
      <c r="AI439" s="21">
        <v>6.2058823529411763E-2</v>
      </c>
      <c r="AJ439" s="21">
        <v>0.60317647058823531</v>
      </c>
    </row>
    <row r="440" spans="1:36" x14ac:dyDescent="0.25">
      <c r="A440" s="17" t="s">
        <v>950</v>
      </c>
      <c r="B440" s="18" t="s">
        <v>951</v>
      </c>
      <c r="C440" s="19" t="s">
        <v>261</v>
      </c>
      <c r="D440" s="20" t="s">
        <v>292</v>
      </c>
      <c r="E440" s="20">
        <v>6</v>
      </c>
      <c r="F440" s="20" t="s">
        <v>744</v>
      </c>
      <c r="G440" s="20" t="s">
        <v>994</v>
      </c>
      <c r="H440" s="5">
        <f t="shared" si="6"/>
        <v>200.40220588235297</v>
      </c>
      <c r="I440" s="21">
        <v>0.18438235294117644</v>
      </c>
      <c r="J440" s="21">
        <v>0.41214705882352937</v>
      </c>
      <c r="K440" s="21">
        <v>5.2245588235294118</v>
      </c>
      <c r="L440" s="6">
        <v>0.22079411764705881</v>
      </c>
      <c r="M440" s="21">
        <v>0.14385294117647057</v>
      </c>
      <c r="N440" s="21">
        <v>38.689499999999995</v>
      </c>
      <c r="O440" s="21">
        <v>0.28011764705882353</v>
      </c>
      <c r="P440" s="21">
        <v>0.40411764705882347</v>
      </c>
      <c r="Q440" s="21">
        <v>6.7225882352941175</v>
      </c>
      <c r="R440" s="21">
        <v>0.24023529411764705</v>
      </c>
      <c r="S440" s="21">
        <v>12.964852941176471</v>
      </c>
      <c r="T440" s="21">
        <v>1.2470588235294117E-2</v>
      </c>
      <c r="U440" s="21">
        <v>5.7970588235294107E-2</v>
      </c>
      <c r="V440" s="21">
        <v>77.061029411764693</v>
      </c>
      <c r="W440" s="21">
        <v>4.4156764705882354</v>
      </c>
      <c r="X440" s="21">
        <v>46.556441176470585</v>
      </c>
      <c r="Y440" s="21">
        <v>7.2294117647058814E-2</v>
      </c>
      <c r="Z440" s="21">
        <v>1.3571470588235293</v>
      </c>
      <c r="AA440" s="21">
        <v>0.9092058823529412</v>
      </c>
      <c r="AB440" s="21">
        <v>1.3070882352941176</v>
      </c>
      <c r="AC440" s="21">
        <v>1.9351470588235293</v>
      </c>
      <c r="AD440" s="21">
        <v>1.414705882352941E-2</v>
      </c>
      <c r="AE440" s="21">
        <v>0.1792941176470588</v>
      </c>
      <c r="AF440" s="21">
        <v>2.852941176470588E-2</v>
      </c>
      <c r="AG440" s="21">
        <v>0.21232352941176469</v>
      </c>
      <c r="AH440" s="21">
        <v>0.17785294117647057</v>
      </c>
      <c r="AI440" s="21">
        <v>6.6823529411764698E-2</v>
      </c>
      <c r="AJ440" s="21">
        <v>0.55161764705882343</v>
      </c>
    </row>
    <row r="441" spans="1:36" x14ac:dyDescent="0.25">
      <c r="A441" s="17" t="s">
        <v>952</v>
      </c>
      <c r="B441" s="18" t="s">
        <v>953</v>
      </c>
      <c r="C441" s="19" t="s">
        <v>261</v>
      </c>
      <c r="D441" s="20" t="s">
        <v>288</v>
      </c>
      <c r="E441" s="20">
        <v>6</v>
      </c>
      <c r="F441" s="20" t="s">
        <v>744</v>
      </c>
      <c r="G441" s="20" t="s">
        <v>994</v>
      </c>
      <c r="H441" s="5">
        <f t="shared" si="6"/>
        <v>166.10155882352942</v>
      </c>
      <c r="I441" s="21">
        <v>0.14858823529411763</v>
      </c>
      <c r="J441" s="21">
        <v>0.42035294117647054</v>
      </c>
      <c r="K441" s="21">
        <v>3.5974117647058819</v>
      </c>
      <c r="L441" s="6">
        <v>8.7294117647058828E-2</v>
      </c>
      <c r="M441" s="21">
        <v>0.13611764705882351</v>
      </c>
      <c r="N441" s="21">
        <v>29.895794117647053</v>
      </c>
      <c r="O441" s="21">
        <v>0.30526470588235288</v>
      </c>
      <c r="P441" s="21">
        <v>0.53520588235294109</v>
      </c>
      <c r="Q441" s="21">
        <v>3.8429411764705881</v>
      </c>
      <c r="R441" s="21">
        <v>0.23908823529411763</v>
      </c>
      <c r="S441" s="21">
        <v>14.883205882352941</v>
      </c>
      <c r="T441" s="21">
        <v>1.6823529411764706E-2</v>
      </c>
      <c r="U441" s="21">
        <v>4.2352941176470586E-2</v>
      </c>
      <c r="V441" s="21">
        <v>64.068058823529398</v>
      </c>
      <c r="W441" s="21">
        <v>3.2762352941176469</v>
      </c>
      <c r="X441" s="21">
        <v>38.198647058823525</v>
      </c>
      <c r="Y441" s="21">
        <v>5.005882352941176E-2</v>
      </c>
      <c r="Z441" s="21">
        <v>0.80161764705882355</v>
      </c>
      <c r="AA441" s="21">
        <v>1.2182058823529411</v>
      </c>
      <c r="AB441" s="21">
        <v>1.1685294117647058</v>
      </c>
      <c r="AC441" s="21">
        <v>2.2458529411764703</v>
      </c>
      <c r="AD441" s="21">
        <v>4.6764705882352941E-3</v>
      </c>
      <c r="AE441" s="21">
        <v>0.13879411764705882</v>
      </c>
      <c r="AF441" s="21">
        <v>1.5029411764705881E-2</v>
      </c>
      <c r="AG441" s="21">
        <v>0.2283235294117647</v>
      </c>
      <c r="AH441" s="21">
        <v>0.14238235294117646</v>
      </c>
      <c r="AI441" s="21">
        <v>4.9852941176470586E-2</v>
      </c>
      <c r="AJ441" s="21">
        <v>0.34485294117647053</v>
      </c>
    </row>
    <row r="442" spans="1:36" x14ac:dyDescent="0.25">
      <c r="A442" s="17" t="s">
        <v>954</v>
      </c>
      <c r="B442" s="18" t="s">
        <v>955</v>
      </c>
      <c r="C442" s="19" t="s">
        <v>261</v>
      </c>
      <c r="D442" s="20" t="s">
        <v>284</v>
      </c>
      <c r="E442" s="20">
        <v>6</v>
      </c>
      <c r="F442" s="20" t="s">
        <v>744</v>
      </c>
      <c r="G442" s="20" t="s">
        <v>994</v>
      </c>
      <c r="H442" s="5">
        <f t="shared" si="6"/>
        <v>251.31885294117643</v>
      </c>
      <c r="I442" s="21">
        <v>0.14770588235294116</v>
      </c>
      <c r="J442" s="21">
        <v>0.61244117647058816</v>
      </c>
      <c r="K442" s="21">
        <v>7.5359411764705877</v>
      </c>
      <c r="L442" s="6">
        <v>0.58917647058823519</v>
      </c>
      <c r="M442" s="21">
        <v>0.19273529411764706</v>
      </c>
      <c r="N442" s="21">
        <v>51.765264705882352</v>
      </c>
      <c r="O442" s="21">
        <v>0.13002941176470587</v>
      </c>
      <c r="P442" s="21">
        <v>0.1842941176470588</v>
      </c>
      <c r="Q442" s="21">
        <v>15.066205882352941</v>
      </c>
      <c r="R442" s="21">
        <v>0.25088235294117645</v>
      </c>
      <c r="S442" s="21">
        <v>12.770794117647057</v>
      </c>
      <c r="T442" s="21">
        <v>2.1588235294117644E-2</v>
      </c>
      <c r="U442" s="21">
        <v>6.670588235294117E-2</v>
      </c>
      <c r="V442" s="21">
        <v>85.203882352941164</v>
      </c>
      <c r="W442" s="21">
        <v>6.2326764705882347</v>
      </c>
      <c r="X442" s="21">
        <v>61.494911764705883</v>
      </c>
      <c r="Y442" s="21">
        <v>9.617647058823528E-2</v>
      </c>
      <c r="Z442" s="21">
        <v>2.2118823529411764</v>
      </c>
      <c r="AA442" s="21">
        <v>1.0442352941176472</v>
      </c>
      <c r="AB442" s="21">
        <v>2.1799411764705878</v>
      </c>
      <c r="AC442" s="21">
        <v>2.150882352941176</v>
      </c>
      <c r="AD442" s="21">
        <v>1.9029411764705881E-2</v>
      </c>
      <c r="AE442" s="21">
        <v>0.15358823529411764</v>
      </c>
      <c r="AF442" s="21">
        <v>3.9117647058823521E-2</v>
      </c>
      <c r="AG442" s="21">
        <v>0.25558823529411762</v>
      </c>
      <c r="AH442" s="21">
        <v>0.21297058823529411</v>
      </c>
      <c r="AI442" s="21">
        <v>6.1911764705882347E-2</v>
      </c>
      <c r="AJ442" s="21">
        <v>0.62829411764705878</v>
      </c>
    </row>
    <row r="443" spans="1:36" x14ac:dyDescent="0.25">
      <c r="A443" s="17" t="s">
        <v>956</v>
      </c>
      <c r="B443" s="18" t="s">
        <v>957</v>
      </c>
      <c r="C443" s="19" t="s">
        <v>261</v>
      </c>
      <c r="D443" s="20" t="s">
        <v>286</v>
      </c>
      <c r="E443" s="20">
        <v>6</v>
      </c>
      <c r="F443" s="20" t="s">
        <v>744</v>
      </c>
      <c r="G443" s="20" t="s">
        <v>994</v>
      </c>
      <c r="H443" s="5">
        <f t="shared" si="6"/>
        <v>192.69323529411761</v>
      </c>
      <c r="I443" s="21">
        <v>0.18514705882352941</v>
      </c>
      <c r="J443" s="21">
        <v>0.6427647058823529</v>
      </c>
      <c r="K443" s="21">
        <v>6.2842941176470584</v>
      </c>
      <c r="L443" s="6">
        <v>0.30373529411764705</v>
      </c>
      <c r="M443" s="21">
        <v>0.18070588235294116</v>
      </c>
      <c r="N443" s="21">
        <v>44.493323529411761</v>
      </c>
      <c r="O443" s="21">
        <v>0.24688235294117644</v>
      </c>
      <c r="P443" s="21">
        <v>0.36179411764705877</v>
      </c>
      <c r="Q443" s="21">
        <v>8.1817941176470583</v>
      </c>
      <c r="R443" s="21">
        <v>0.26655882352941174</v>
      </c>
      <c r="S443" s="21">
        <v>13.133735294117646</v>
      </c>
      <c r="T443" s="21">
        <v>3.5499999999999997E-2</v>
      </c>
      <c r="U443" s="21">
        <v>0.10217647058823529</v>
      </c>
      <c r="V443" s="21">
        <v>64.775235294117635</v>
      </c>
      <c r="W443" s="21">
        <v>4.0672058823529404</v>
      </c>
      <c r="X443" s="21">
        <v>43.347676470588233</v>
      </c>
      <c r="Y443" s="21">
        <v>4.9323529411764704E-2</v>
      </c>
      <c r="Z443" s="21">
        <v>1.6045882352941176</v>
      </c>
      <c r="AA443" s="21">
        <v>0.64847058823529413</v>
      </c>
      <c r="AB443" s="21">
        <v>1.1609411764705881</v>
      </c>
      <c r="AC443" s="21">
        <v>1.5752941176470585</v>
      </c>
      <c r="AD443" s="21">
        <v>4.1176470588235288E-3</v>
      </c>
      <c r="AE443" s="21">
        <v>0.11826470588235294</v>
      </c>
      <c r="AF443" s="21">
        <v>1.0235294117647058E-2</v>
      </c>
      <c r="AG443" s="21">
        <v>0.20411764705882351</v>
      </c>
      <c r="AH443" s="21">
        <v>0.15814705882352939</v>
      </c>
      <c r="AI443" s="21">
        <v>5.3823529411764701E-2</v>
      </c>
      <c r="AJ443" s="21">
        <v>0.49738235294117644</v>
      </c>
    </row>
    <row r="444" spans="1:36" x14ac:dyDescent="0.25">
      <c r="A444" s="17" t="s">
        <v>958</v>
      </c>
      <c r="B444" s="18" t="s">
        <v>959</v>
      </c>
      <c r="C444" s="19" t="s">
        <v>261</v>
      </c>
      <c r="D444" s="20" t="s">
        <v>262</v>
      </c>
      <c r="E444" s="20">
        <v>0</v>
      </c>
      <c r="F444" s="20" t="s">
        <v>775</v>
      </c>
      <c r="G444" s="20" t="s">
        <v>994</v>
      </c>
      <c r="H444" s="5">
        <f t="shared" si="6"/>
        <v>299.09085294117654</v>
      </c>
      <c r="I444" s="21">
        <v>0.16008823529411764</v>
      </c>
      <c r="J444" s="21">
        <v>0.51841176470588235</v>
      </c>
      <c r="K444" s="21">
        <v>5.6835294117647051</v>
      </c>
      <c r="L444" s="6">
        <v>0.3135</v>
      </c>
      <c r="M444" s="21">
        <v>0.43994117647058817</v>
      </c>
      <c r="N444" s="21">
        <v>69.048088235294117</v>
      </c>
      <c r="O444" s="21">
        <v>0</v>
      </c>
      <c r="P444" s="21">
        <v>0</v>
      </c>
      <c r="Q444" s="21">
        <v>19.120588235294118</v>
      </c>
      <c r="R444" s="21">
        <v>0.48541176470588226</v>
      </c>
      <c r="S444" s="21">
        <v>10.289705882352941</v>
      </c>
      <c r="T444" s="21">
        <v>0</v>
      </c>
      <c r="U444" s="21">
        <v>0</v>
      </c>
      <c r="V444" s="21">
        <v>86.855970588235294</v>
      </c>
      <c r="W444" s="21">
        <v>7.2602647058823528</v>
      </c>
      <c r="X444" s="21">
        <v>89.483294117647063</v>
      </c>
      <c r="Y444" s="21">
        <v>0.22405882352941173</v>
      </c>
      <c r="Z444" s="21">
        <v>5.0272647058823523</v>
      </c>
      <c r="AA444" s="21">
        <v>0.24438235294117644</v>
      </c>
      <c r="AB444" s="21">
        <v>1.7522058823529409</v>
      </c>
      <c r="AC444" s="21">
        <v>1.2783529411764705</v>
      </c>
      <c r="AD444" s="21">
        <v>2.6147058823529412E-2</v>
      </c>
      <c r="AE444" s="21">
        <v>6.5441176470588225E-2</v>
      </c>
      <c r="AF444" s="21">
        <v>4.3235294117647052E-2</v>
      </c>
      <c r="AG444" s="21">
        <v>0.12738235294117647</v>
      </c>
      <c r="AH444" s="21">
        <v>0.1706470588235294</v>
      </c>
      <c r="AI444" s="21">
        <v>4.0558823529411765E-2</v>
      </c>
      <c r="AJ444" s="21">
        <v>0.43238235294117644</v>
      </c>
    </row>
    <row r="445" spans="1:36" x14ac:dyDescent="0.25">
      <c r="A445" s="17" t="s">
        <v>960</v>
      </c>
      <c r="B445" s="18" t="s">
        <v>961</v>
      </c>
      <c r="C445" s="19" t="s">
        <v>261</v>
      </c>
      <c r="D445" s="20" t="s">
        <v>268</v>
      </c>
      <c r="E445" s="20">
        <v>1</v>
      </c>
      <c r="F445" s="20" t="s">
        <v>775</v>
      </c>
      <c r="G445" s="20" t="s">
        <v>994</v>
      </c>
      <c r="H445" s="5">
        <f t="shared" si="6"/>
        <v>367.45567647058812</v>
      </c>
      <c r="I445" s="21">
        <v>0.1875</v>
      </c>
      <c r="J445" s="21">
        <v>0.67267647058823521</v>
      </c>
      <c r="K445" s="21">
        <v>6.1191470588235282</v>
      </c>
      <c r="L445" s="6">
        <v>0.42917647058823521</v>
      </c>
      <c r="M445" s="21">
        <v>0.62541176470588233</v>
      </c>
      <c r="N445" s="21">
        <v>75.264735294117642</v>
      </c>
      <c r="O445" s="21">
        <v>0</v>
      </c>
      <c r="P445" s="21">
        <v>0</v>
      </c>
      <c r="Q445" s="21">
        <v>25.97926470588235</v>
      </c>
      <c r="R445" s="21">
        <v>0.64161764705882351</v>
      </c>
      <c r="S445" s="21">
        <v>8.7945294117647048</v>
      </c>
      <c r="T445" s="21">
        <v>0</v>
      </c>
      <c r="U445" s="21">
        <v>0</v>
      </c>
      <c r="V445" s="21">
        <v>109.36149999999999</v>
      </c>
      <c r="W445" s="21">
        <v>11.081558823529411</v>
      </c>
      <c r="X445" s="21">
        <v>115.8545588235294</v>
      </c>
      <c r="Y445" s="21">
        <v>0.29111764705882348</v>
      </c>
      <c r="Z445" s="21">
        <v>6.5437941176470575</v>
      </c>
      <c r="AA445" s="21">
        <v>0.24108823529411763</v>
      </c>
      <c r="AB445" s="21">
        <v>1.9668529411764706</v>
      </c>
      <c r="AC445" s="21">
        <v>1.9907352941176468</v>
      </c>
      <c r="AD445" s="21">
        <v>3.0176470588235291E-2</v>
      </c>
      <c r="AE445" s="21">
        <v>6.1911764705882347E-2</v>
      </c>
      <c r="AF445" s="21">
        <v>7.3147058823529398E-2</v>
      </c>
      <c r="AG445" s="21">
        <v>0.15155882352941175</v>
      </c>
      <c r="AH445" s="21">
        <v>0.2535</v>
      </c>
      <c r="AI445" s="21">
        <v>4.4882352941176464E-2</v>
      </c>
      <c r="AJ445" s="21">
        <v>0.79523529411764704</v>
      </c>
    </row>
    <row r="446" spans="1:36" x14ac:dyDescent="0.25">
      <c r="A446" s="17" t="s">
        <v>962</v>
      </c>
      <c r="B446" s="18" t="s">
        <v>963</v>
      </c>
      <c r="C446" s="19" t="s">
        <v>261</v>
      </c>
      <c r="D446" s="20" t="s">
        <v>270</v>
      </c>
      <c r="E446" s="20">
        <v>1</v>
      </c>
      <c r="F446" s="20" t="s">
        <v>775</v>
      </c>
      <c r="G446" s="20" t="s">
        <v>994</v>
      </c>
      <c r="H446" s="5">
        <f t="shared" si="6"/>
        <v>127.8581470588235</v>
      </c>
      <c r="I446" s="21">
        <v>0.14049999999999999</v>
      </c>
      <c r="J446" s="21">
        <v>0.30882352941176466</v>
      </c>
      <c r="K446" s="21">
        <v>1.9442058823529411</v>
      </c>
      <c r="L446" s="6">
        <v>0.12785294117647059</v>
      </c>
      <c r="M446" s="21">
        <v>0.25658823529411762</v>
      </c>
      <c r="N446" s="21">
        <v>25.008882352941171</v>
      </c>
      <c r="O446" s="21">
        <v>7.8823529411764705E-3</v>
      </c>
      <c r="P446" s="21">
        <v>2.364705882352941E-2</v>
      </c>
      <c r="Q446" s="21">
        <v>5.7898235294117644</v>
      </c>
      <c r="R446" s="21">
        <v>0.25773529411764706</v>
      </c>
      <c r="S446" s="21">
        <v>3.4691764705882346</v>
      </c>
      <c r="T446" s="21">
        <v>0</v>
      </c>
      <c r="U446" s="21">
        <v>0</v>
      </c>
      <c r="V446" s="21">
        <v>37.053176470588234</v>
      </c>
      <c r="W446" s="21">
        <v>2.9272352941176467</v>
      </c>
      <c r="X446" s="21">
        <v>46.183676470588232</v>
      </c>
      <c r="Y446" s="21">
        <v>0.10520588235294118</v>
      </c>
      <c r="Z446" s="21">
        <v>1.8014117647058823</v>
      </c>
      <c r="AA446" s="21">
        <v>0.16879411764705879</v>
      </c>
      <c r="AB446" s="21">
        <v>1.3886470588235293</v>
      </c>
      <c r="AC446" s="21">
        <v>0.4614117647058823</v>
      </c>
      <c r="AD446" s="21">
        <v>4.3235294117647052E-3</v>
      </c>
      <c r="AE446" s="21">
        <v>3.7941176470588235E-2</v>
      </c>
      <c r="AF446" s="21">
        <v>8.5000000000000006E-3</v>
      </c>
      <c r="AG446" s="21">
        <v>0.14129411764705882</v>
      </c>
      <c r="AH446" s="21">
        <v>8.2382352941176462E-2</v>
      </c>
      <c r="AI446" s="21">
        <v>2.3E-2</v>
      </c>
      <c r="AJ446" s="21">
        <v>0.13602941176470587</v>
      </c>
    </row>
    <row r="447" spans="1:36" x14ac:dyDescent="0.25">
      <c r="A447" s="17" t="s">
        <v>964</v>
      </c>
      <c r="B447" s="18" t="s">
        <v>965</v>
      </c>
      <c r="C447" s="19" t="s">
        <v>261</v>
      </c>
      <c r="D447" s="20" t="s">
        <v>272</v>
      </c>
      <c r="E447" s="20">
        <v>1</v>
      </c>
      <c r="F447" s="20" t="s">
        <v>775</v>
      </c>
      <c r="G447" s="20" t="s">
        <v>994</v>
      </c>
      <c r="H447" s="5">
        <f t="shared" si="6"/>
        <v>100.86173529411764</v>
      </c>
      <c r="I447" s="21">
        <v>0.18176470588235294</v>
      </c>
      <c r="J447" s="21">
        <v>0.34517647058823531</v>
      </c>
      <c r="K447" s="21">
        <v>2.0718823529411763</v>
      </c>
      <c r="L447" s="6">
        <v>0.12455882352941175</v>
      </c>
      <c r="M447" s="21">
        <v>0.1792941176470588</v>
      </c>
      <c r="N447" s="21">
        <v>23.126617647058822</v>
      </c>
      <c r="O447" s="21">
        <v>0</v>
      </c>
      <c r="P447" s="21">
        <v>0</v>
      </c>
      <c r="Q447" s="21">
        <v>6.5668235294117645</v>
      </c>
      <c r="R447" s="21">
        <v>0.16197058823529412</v>
      </c>
      <c r="S447" s="21">
        <v>3.1973823529411765</v>
      </c>
      <c r="T447" s="21">
        <v>0</v>
      </c>
      <c r="U447" s="21">
        <v>0</v>
      </c>
      <c r="V447" s="21">
        <v>29.898882352941175</v>
      </c>
      <c r="W447" s="21">
        <v>2.3490294117647057</v>
      </c>
      <c r="X447" s="21">
        <v>29.910823529411761</v>
      </c>
      <c r="Y447" s="21">
        <v>7.3029411764705884E-2</v>
      </c>
      <c r="Z447" s="21">
        <v>1.4172941176470586</v>
      </c>
      <c r="AA447" s="21">
        <v>7.7705882352941166E-2</v>
      </c>
      <c r="AB447" s="21">
        <v>0.4713235294117647</v>
      </c>
      <c r="AC447" s="21">
        <v>0.41052941176470586</v>
      </c>
      <c r="AD447" s="21">
        <v>1.7941176470588232E-3</v>
      </c>
      <c r="AE447" s="21">
        <v>2.7588235294117643E-2</v>
      </c>
      <c r="AF447" s="21">
        <v>6.0588235294117649E-3</v>
      </c>
      <c r="AG447" s="21">
        <v>4.3970588235294115E-2</v>
      </c>
      <c r="AH447" s="21">
        <v>7.8911764705882348E-2</v>
      </c>
      <c r="AI447" s="21">
        <v>1.0558823529411763E-2</v>
      </c>
      <c r="AJ447" s="21">
        <v>0.12876470588235292</v>
      </c>
    </row>
    <row r="448" spans="1:36" x14ac:dyDescent="0.25">
      <c r="A448" s="17" t="s">
        <v>966</v>
      </c>
      <c r="B448" s="18" t="s">
        <v>967</v>
      </c>
      <c r="C448" s="19" t="s">
        <v>261</v>
      </c>
      <c r="D448" s="20" t="s">
        <v>264</v>
      </c>
      <c r="E448" s="20">
        <v>1</v>
      </c>
      <c r="F448" s="20" t="s">
        <v>775</v>
      </c>
      <c r="G448" s="20" t="s">
        <v>994</v>
      </c>
      <c r="H448" s="5">
        <f t="shared" si="6"/>
        <v>437.76220588235293</v>
      </c>
      <c r="I448" s="21">
        <v>0.15485294117647058</v>
      </c>
      <c r="J448" s="21">
        <v>0.55758823529411761</v>
      </c>
      <c r="K448" s="21">
        <v>5.9642058823529398</v>
      </c>
      <c r="L448" s="6">
        <v>0.57355882352941168</v>
      </c>
      <c r="M448" s="21">
        <v>0.71552941176470586</v>
      </c>
      <c r="N448" s="21">
        <v>81.502294117647054</v>
      </c>
      <c r="O448" s="21">
        <v>0</v>
      </c>
      <c r="P448" s="21">
        <v>0</v>
      </c>
      <c r="Q448" s="21">
        <v>39.080058823529406</v>
      </c>
      <c r="R448" s="21">
        <v>0.56873529411764701</v>
      </c>
      <c r="S448" s="21">
        <v>6.8967941176470582</v>
      </c>
      <c r="T448" s="21">
        <v>0</v>
      </c>
      <c r="U448" s="21">
        <v>0</v>
      </c>
      <c r="V448" s="21">
        <v>123.04899999999999</v>
      </c>
      <c r="W448" s="21">
        <v>12.05</v>
      </c>
      <c r="X448" s="21">
        <v>151.87699999999998</v>
      </c>
      <c r="Y448" s="21">
        <v>0.37826470588235289</v>
      </c>
      <c r="Z448" s="21">
        <v>8.4206764705882353</v>
      </c>
      <c r="AA448" s="21">
        <v>0.29544117647058821</v>
      </c>
      <c r="AB448" s="21">
        <v>2.7139411764705881</v>
      </c>
      <c r="AC448" s="21">
        <v>1.8111470588235292</v>
      </c>
      <c r="AD448" s="21">
        <v>5.9970588235294109E-2</v>
      </c>
      <c r="AE448" s="21">
        <v>5.1647058823529407E-2</v>
      </c>
      <c r="AF448" s="21">
        <v>7.3676470588235288E-2</v>
      </c>
      <c r="AG448" s="21">
        <v>0.18373529411764702</v>
      </c>
      <c r="AH448" s="21">
        <v>0.27673529411764702</v>
      </c>
      <c r="AI448" s="21">
        <v>3.7617647058823526E-2</v>
      </c>
      <c r="AJ448" s="21">
        <v>0.46973529411764697</v>
      </c>
    </row>
    <row r="449" spans="1:36" x14ac:dyDescent="0.25">
      <c r="A449" s="17" t="s">
        <v>968</v>
      </c>
      <c r="B449" s="18" t="s">
        <v>969</v>
      </c>
      <c r="C449" s="19" t="s">
        <v>261</v>
      </c>
      <c r="D449" s="20" t="s">
        <v>266</v>
      </c>
      <c r="E449" s="20">
        <v>1</v>
      </c>
      <c r="F449" s="20" t="s">
        <v>775</v>
      </c>
      <c r="G449" s="20" t="s">
        <v>994</v>
      </c>
      <c r="H449" s="5">
        <f t="shared" si="6"/>
        <v>123.65029411764705</v>
      </c>
      <c r="I449" s="21">
        <v>0.15767647058823528</v>
      </c>
      <c r="J449" s="21">
        <v>0.35647058823529409</v>
      </c>
      <c r="K449" s="21">
        <v>2.3241176470588232</v>
      </c>
      <c r="L449" s="6">
        <v>0.13911764705882351</v>
      </c>
      <c r="M449" s="21">
        <v>0.21723529411764703</v>
      </c>
      <c r="N449" s="21">
        <v>27.473029411764706</v>
      </c>
      <c r="O449" s="21">
        <v>0</v>
      </c>
      <c r="P449" s="21">
        <v>0</v>
      </c>
      <c r="Q449" s="21">
        <v>7.5288235294117642</v>
      </c>
      <c r="R449" s="21">
        <v>0.21514705882352941</v>
      </c>
      <c r="S449" s="21">
        <v>4.0713529411764702</v>
      </c>
      <c r="T449" s="21">
        <v>0</v>
      </c>
      <c r="U449" s="21">
        <v>0</v>
      </c>
      <c r="V449" s="21">
        <v>37.781588235294116</v>
      </c>
      <c r="W449" s="21">
        <v>2.804205882352941</v>
      </c>
      <c r="X449" s="21">
        <v>37.472647058823526</v>
      </c>
      <c r="Y449" s="21">
        <v>7.5058823529411761E-2</v>
      </c>
      <c r="Z449" s="21">
        <v>1.5538823529411763</v>
      </c>
      <c r="AA449" s="21">
        <v>9.355882352941175E-2</v>
      </c>
      <c r="AB449" s="21">
        <v>0.60817647058823521</v>
      </c>
      <c r="AC449" s="21">
        <v>0.46597058823529403</v>
      </c>
      <c r="AD449" s="21">
        <v>5.0000000000000001E-4</v>
      </c>
      <c r="AE449" s="21">
        <v>2.2499999999999996E-2</v>
      </c>
      <c r="AF449" s="21">
        <v>6.8235294117647057E-3</v>
      </c>
      <c r="AG449" s="21">
        <v>7.7764705882352944E-2</v>
      </c>
      <c r="AH449" s="21">
        <v>6.8382352941176464E-2</v>
      </c>
      <c r="AI449" s="21">
        <v>1.7205882352941175E-2</v>
      </c>
      <c r="AJ449" s="21">
        <v>0.11905882352941176</v>
      </c>
    </row>
    <row r="450" spans="1:36" x14ac:dyDescent="0.25">
      <c r="A450" s="17" t="s">
        <v>970</v>
      </c>
      <c r="B450" s="18" t="s">
        <v>971</v>
      </c>
      <c r="C450" s="19" t="s">
        <v>261</v>
      </c>
      <c r="D450" s="20" t="s">
        <v>278</v>
      </c>
      <c r="E450" s="20">
        <v>2</v>
      </c>
      <c r="F450" s="20" t="s">
        <v>775</v>
      </c>
      <c r="G450" s="20" t="s">
        <v>994</v>
      </c>
      <c r="H450" s="5">
        <f t="shared" ref="H450:H459" si="7">SUM(I450:M450,N450:R450,S450:AJ450)</f>
        <v>68.466205882352938</v>
      </c>
      <c r="I450" s="21">
        <v>0.12244117647058822</v>
      </c>
      <c r="J450" s="21">
        <v>0.24470588235294113</v>
      </c>
      <c r="K450" s="21">
        <v>1.1164705882352941</v>
      </c>
      <c r="L450" s="6">
        <v>8.6411764705882341E-2</v>
      </c>
      <c r="M450" s="21">
        <v>0.14723529411764705</v>
      </c>
      <c r="N450" s="21">
        <v>13.066117647058821</v>
      </c>
      <c r="O450" s="21">
        <v>0</v>
      </c>
      <c r="P450" s="21">
        <v>0</v>
      </c>
      <c r="Q450" s="21">
        <v>2.9851470588235292</v>
      </c>
      <c r="R450" s="21">
        <v>0.14702941176470588</v>
      </c>
      <c r="S450" s="21">
        <v>2.0788823529411764</v>
      </c>
      <c r="T450" s="21">
        <v>0</v>
      </c>
      <c r="U450" s="21">
        <v>0</v>
      </c>
      <c r="V450" s="21">
        <v>19.889264705882351</v>
      </c>
      <c r="W450" s="21">
        <v>1.5779999999999998</v>
      </c>
      <c r="X450" s="21">
        <v>24.958705882352941</v>
      </c>
      <c r="Y450" s="21">
        <v>5.0911764705882344E-2</v>
      </c>
      <c r="Z450" s="21">
        <v>0.82585294117647046</v>
      </c>
      <c r="AA450" s="21">
        <v>8.402941176470588E-2</v>
      </c>
      <c r="AB450" s="21">
        <v>0.60711764705882343</v>
      </c>
      <c r="AC450" s="21">
        <v>0.25035294117647056</v>
      </c>
      <c r="AD450" s="21">
        <v>4.7058823529411766E-4</v>
      </c>
      <c r="AE450" s="21">
        <v>1.7705882352941175E-2</v>
      </c>
      <c r="AF450" s="21">
        <v>0</v>
      </c>
      <c r="AG450" s="21">
        <v>7.0558823529411757E-2</v>
      </c>
      <c r="AH450" s="21">
        <v>4.8558823529411758E-2</v>
      </c>
      <c r="AI450" s="21">
        <v>1.3617647058823528E-2</v>
      </c>
      <c r="AJ450" s="21">
        <v>7.6617647058823526E-2</v>
      </c>
    </row>
    <row r="451" spans="1:36" x14ac:dyDescent="0.25">
      <c r="A451" s="17" t="s">
        <v>972</v>
      </c>
      <c r="B451" s="18" t="s">
        <v>973</v>
      </c>
      <c r="C451" s="19" t="s">
        <v>261</v>
      </c>
      <c r="D451" s="20" t="s">
        <v>280</v>
      </c>
      <c r="E451" s="20">
        <v>2</v>
      </c>
      <c r="F451" s="20" t="s">
        <v>775</v>
      </c>
      <c r="G451" s="20" t="s">
        <v>994</v>
      </c>
      <c r="H451" s="5">
        <f t="shared" si="7"/>
        <v>159.42699999999996</v>
      </c>
      <c r="I451" s="21">
        <v>0.13102941176470587</v>
      </c>
      <c r="J451" s="21">
        <v>0.33758823529411758</v>
      </c>
      <c r="K451" s="21">
        <v>2.6814411764705879</v>
      </c>
      <c r="L451" s="6">
        <v>0.16588235294117645</v>
      </c>
      <c r="M451" s="21">
        <v>0.2582647058823529</v>
      </c>
      <c r="N451" s="21">
        <v>32.29191176470588</v>
      </c>
      <c r="O451" s="21">
        <v>0</v>
      </c>
      <c r="P451" s="21">
        <v>0</v>
      </c>
      <c r="Q451" s="21">
        <v>10.15055882352941</v>
      </c>
      <c r="R451" s="21">
        <v>0.26129411764705879</v>
      </c>
      <c r="S451" s="21">
        <v>5.0155588235294113</v>
      </c>
      <c r="T451" s="21">
        <v>0</v>
      </c>
      <c r="U451" s="21">
        <v>0</v>
      </c>
      <c r="V451" s="21">
        <v>51.16544117647058</v>
      </c>
      <c r="W451" s="21">
        <v>3.8550294117647055</v>
      </c>
      <c r="X451" s="21">
        <v>48.853529411764697</v>
      </c>
      <c r="Y451" s="21">
        <v>0.10914705882352939</v>
      </c>
      <c r="Z451" s="21">
        <v>2.0997058823529411</v>
      </c>
      <c r="AA451" s="21">
        <v>0.13114705882352939</v>
      </c>
      <c r="AB451" s="21">
        <v>0.81947058823529395</v>
      </c>
      <c r="AC451" s="21">
        <v>0.6536764705882353</v>
      </c>
      <c r="AD451" s="21">
        <v>4.7647058823529409E-3</v>
      </c>
      <c r="AE451" s="21">
        <v>3.5441176470588233E-2</v>
      </c>
      <c r="AF451" s="21">
        <v>1.3823529411764705E-2</v>
      </c>
      <c r="AG451" s="21">
        <v>7.9323529411764696E-2</v>
      </c>
      <c r="AH451" s="21">
        <v>9.7970588235294101E-2</v>
      </c>
      <c r="AI451" s="21">
        <v>2.7735294117647052E-2</v>
      </c>
      <c r="AJ451" s="21">
        <v>0.18726470588235294</v>
      </c>
    </row>
    <row r="452" spans="1:36" x14ac:dyDescent="0.25">
      <c r="A452" s="17" t="s">
        <v>974</v>
      </c>
      <c r="B452" s="18" t="s">
        <v>975</v>
      </c>
      <c r="C452" s="19" t="s">
        <v>261</v>
      </c>
      <c r="D452" s="20" t="s">
        <v>282</v>
      </c>
      <c r="E452" s="20">
        <v>2</v>
      </c>
      <c r="F452" s="20" t="s">
        <v>775</v>
      </c>
      <c r="G452" s="20" t="s">
        <v>994</v>
      </c>
      <c r="H452" s="5">
        <f t="shared" si="7"/>
        <v>247.70997058823528</v>
      </c>
      <c r="I452" s="21">
        <v>0.1576176470588235</v>
      </c>
      <c r="J452" s="21">
        <v>0.44649999999999995</v>
      </c>
      <c r="K452" s="21">
        <v>4.527705882352941</v>
      </c>
      <c r="L452" s="6">
        <v>0.24782352941176469</v>
      </c>
      <c r="M452" s="21">
        <v>0.36302941176470582</v>
      </c>
      <c r="N452" s="21">
        <v>54.274470588235296</v>
      </c>
      <c r="O452" s="21">
        <v>0</v>
      </c>
      <c r="P452" s="21">
        <v>0</v>
      </c>
      <c r="Q452" s="21">
        <v>14.89005882352941</v>
      </c>
      <c r="R452" s="21">
        <v>0.41191176470588237</v>
      </c>
      <c r="S452" s="21">
        <v>8.5780588235294104</v>
      </c>
      <c r="T452" s="21">
        <v>0</v>
      </c>
      <c r="U452" s="21">
        <v>0</v>
      </c>
      <c r="V452" s="21">
        <v>77.239794117647051</v>
      </c>
      <c r="W452" s="21">
        <v>6.2901470588235293</v>
      </c>
      <c r="X452" s="21">
        <v>73.099970588235294</v>
      </c>
      <c r="Y452" s="21">
        <v>0.17467647058823527</v>
      </c>
      <c r="Z452" s="21">
        <v>3.4941470588235291</v>
      </c>
      <c r="AA452" s="21">
        <v>0.20985294117647058</v>
      </c>
      <c r="AB452" s="21">
        <v>1.5567647058823528</v>
      </c>
      <c r="AC452" s="21">
        <v>1.0363823529411764</v>
      </c>
      <c r="AD452" s="21">
        <v>1.2823529411764706E-2</v>
      </c>
      <c r="AE452" s="21">
        <v>5.6382352941176467E-2</v>
      </c>
      <c r="AF452" s="21">
        <v>2.429411764705882E-2</v>
      </c>
      <c r="AG452" s="21">
        <v>0.10705882352941176</v>
      </c>
      <c r="AH452" s="21">
        <v>0.13202941176470587</v>
      </c>
      <c r="AI452" s="21">
        <v>3.7617647058823526E-2</v>
      </c>
      <c r="AJ452" s="21">
        <v>0.34085294117647058</v>
      </c>
    </row>
    <row r="453" spans="1:36" x14ac:dyDescent="0.25">
      <c r="A453" s="17" t="s">
        <v>976</v>
      </c>
      <c r="B453" s="18" t="s">
        <v>977</v>
      </c>
      <c r="C453" s="19" t="s">
        <v>261</v>
      </c>
      <c r="D453" s="20" t="s">
        <v>274</v>
      </c>
      <c r="E453" s="20">
        <v>2</v>
      </c>
      <c r="F453" s="20" t="s">
        <v>775</v>
      </c>
      <c r="G453" s="20" t="s">
        <v>994</v>
      </c>
      <c r="H453" s="5">
        <f t="shared" si="7"/>
        <v>162.38535294117645</v>
      </c>
      <c r="I453" s="21">
        <v>0.14608823529411763</v>
      </c>
      <c r="J453" s="21">
        <v>0.37017647058823527</v>
      </c>
      <c r="K453" s="21">
        <v>3.0658235294117646</v>
      </c>
      <c r="L453" s="6">
        <v>0.17241176470588235</v>
      </c>
      <c r="M453" s="21">
        <v>0.23582352941176468</v>
      </c>
      <c r="N453" s="21">
        <v>36.916735294117643</v>
      </c>
      <c r="O453" s="21">
        <v>0</v>
      </c>
      <c r="P453" s="21">
        <v>4.411764705882352E-4</v>
      </c>
      <c r="Q453" s="21">
        <v>9.4441470588235283</v>
      </c>
      <c r="R453" s="21">
        <v>0.27323529411764702</v>
      </c>
      <c r="S453" s="21">
        <v>6.4597352941176469</v>
      </c>
      <c r="T453" s="21">
        <v>0</v>
      </c>
      <c r="U453" s="21">
        <v>0</v>
      </c>
      <c r="V453" s="21">
        <v>50.491823529411761</v>
      </c>
      <c r="W453" s="21">
        <v>3.8007058823529412</v>
      </c>
      <c r="X453" s="21">
        <v>46.735735294117646</v>
      </c>
      <c r="Y453" s="21">
        <v>9.0411764705882344E-2</v>
      </c>
      <c r="Z453" s="21">
        <v>2.0261176470588236</v>
      </c>
      <c r="AA453" s="21">
        <v>0.14241176470588235</v>
      </c>
      <c r="AB453" s="21">
        <v>0.91776470588235282</v>
      </c>
      <c r="AC453" s="21">
        <v>0.65182352941176469</v>
      </c>
      <c r="AD453" s="21">
        <v>3.7647058823529413E-3</v>
      </c>
      <c r="AE453" s="21">
        <v>3.7617647058823526E-2</v>
      </c>
      <c r="AF453" s="21">
        <v>1.226470588235294E-2</v>
      </c>
      <c r="AG453" s="21">
        <v>9.2852941176470583E-2</v>
      </c>
      <c r="AH453" s="21">
        <v>9.6382352941176461E-2</v>
      </c>
      <c r="AI453" s="21">
        <v>2.8705882352941171E-2</v>
      </c>
      <c r="AJ453" s="21">
        <v>0.17235294117647057</v>
      </c>
    </row>
    <row r="454" spans="1:36" x14ac:dyDescent="0.25">
      <c r="A454" s="17" t="s">
        <v>978</v>
      </c>
      <c r="B454" s="18" t="s">
        <v>979</v>
      </c>
      <c r="C454" s="19" t="s">
        <v>261</v>
      </c>
      <c r="D454" s="20" t="s">
        <v>276</v>
      </c>
      <c r="E454" s="20">
        <v>2</v>
      </c>
      <c r="F454" s="20" t="s">
        <v>775</v>
      </c>
      <c r="G454" s="20" t="s">
        <v>994</v>
      </c>
      <c r="H454" s="5">
        <f t="shared" si="7"/>
        <v>375.89738235294107</v>
      </c>
      <c r="I454" s="21">
        <v>0.14235294117647057</v>
      </c>
      <c r="J454" s="21">
        <v>0.49814705882352933</v>
      </c>
      <c r="K454" s="21">
        <v>5.3513823529411759</v>
      </c>
      <c r="L454" s="6">
        <v>0.40708823529411764</v>
      </c>
      <c r="M454" s="21">
        <v>0.7101764705882353</v>
      </c>
      <c r="N454" s="21">
        <v>65.867647058823522</v>
      </c>
      <c r="O454" s="21">
        <v>2.941176470588235E-4</v>
      </c>
      <c r="P454" s="21">
        <v>0</v>
      </c>
      <c r="Q454" s="21">
        <v>23.430647058823528</v>
      </c>
      <c r="R454" s="21">
        <v>0.75435294117647045</v>
      </c>
      <c r="S454" s="21">
        <v>7.97670588235294</v>
      </c>
      <c r="T454" s="21">
        <v>0</v>
      </c>
      <c r="U454" s="21">
        <v>0</v>
      </c>
      <c r="V454" s="21">
        <v>107.91070588235293</v>
      </c>
      <c r="W454" s="21">
        <v>12.001823529411762</v>
      </c>
      <c r="X454" s="21">
        <v>137.75644117647059</v>
      </c>
      <c r="Y454" s="21">
        <v>0.20902941176470585</v>
      </c>
      <c r="Z454" s="21">
        <v>7.5397941176470589</v>
      </c>
      <c r="AA454" s="21">
        <v>0.24373529411764705</v>
      </c>
      <c r="AB454" s="21">
        <v>2.6303235294117648</v>
      </c>
      <c r="AC454" s="21">
        <v>1.5491764705882352</v>
      </c>
      <c r="AD454" s="21">
        <v>3.5588235294117643E-2</v>
      </c>
      <c r="AE454" s="21">
        <v>4.6147058823529402E-2</v>
      </c>
      <c r="AF454" s="21">
        <v>3.0882352941176468E-2</v>
      </c>
      <c r="AG454" s="21">
        <v>0.13100000000000001</v>
      </c>
      <c r="AH454" s="21">
        <v>0.24258823529411763</v>
      </c>
      <c r="AI454" s="21">
        <v>2.5176470588235293E-2</v>
      </c>
      <c r="AJ454" s="21">
        <v>0.40617647058823525</v>
      </c>
    </row>
    <row r="455" spans="1:36" x14ac:dyDescent="0.25">
      <c r="A455" s="17" t="s">
        <v>980</v>
      </c>
      <c r="B455" s="18" t="s">
        <v>981</v>
      </c>
      <c r="C455" s="19" t="s">
        <v>261</v>
      </c>
      <c r="D455" s="20" t="s">
        <v>290</v>
      </c>
      <c r="E455" s="20">
        <v>6</v>
      </c>
      <c r="F455" s="20" t="s">
        <v>775</v>
      </c>
      <c r="G455" s="20" t="s">
        <v>994</v>
      </c>
      <c r="H455" s="5">
        <f t="shared" si="7"/>
        <v>168.08629411764701</v>
      </c>
      <c r="I455" s="21">
        <v>0.11829411764705881</v>
      </c>
      <c r="J455" s="21">
        <v>0.34188235294117642</v>
      </c>
      <c r="K455" s="21">
        <v>3.1733823529411764</v>
      </c>
      <c r="L455" s="6">
        <v>0.15197058823529411</v>
      </c>
      <c r="M455" s="21">
        <v>0.28999999999999998</v>
      </c>
      <c r="N455" s="21">
        <v>35.894647058823523</v>
      </c>
      <c r="O455" s="21">
        <v>3.529411764705882E-4</v>
      </c>
      <c r="P455" s="21">
        <v>1.1617647058823529E-2</v>
      </c>
      <c r="Q455" s="21">
        <v>8.7583529411764705</v>
      </c>
      <c r="R455" s="21">
        <v>0.31270588235294117</v>
      </c>
      <c r="S455" s="21">
        <v>6.5431764705882358</v>
      </c>
      <c r="T455" s="21">
        <v>0</v>
      </c>
      <c r="U455" s="21">
        <v>0</v>
      </c>
      <c r="V455" s="21">
        <v>53.617441176470585</v>
      </c>
      <c r="W455" s="21">
        <v>4.0685588235294112</v>
      </c>
      <c r="X455" s="21">
        <v>50.192852941176469</v>
      </c>
      <c r="Y455" s="21">
        <v>0.11314705882352939</v>
      </c>
      <c r="Z455" s="21">
        <v>1.9826764705882352</v>
      </c>
      <c r="AA455" s="21">
        <v>0.16138235294117648</v>
      </c>
      <c r="AB455" s="21">
        <v>1.0626764705882352</v>
      </c>
      <c r="AC455" s="21">
        <v>0.76744117647058818</v>
      </c>
      <c r="AD455" s="21">
        <v>5.1764705882352937E-3</v>
      </c>
      <c r="AE455" s="21">
        <v>4.8352941176470585E-2</v>
      </c>
      <c r="AF455" s="21">
        <v>1.2352941176470586E-2</v>
      </c>
      <c r="AG455" s="21">
        <v>8.2264705882352934E-2</v>
      </c>
      <c r="AH455" s="21">
        <v>0.115</v>
      </c>
      <c r="AI455" s="21">
        <v>3.717647058823529E-2</v>
      </c>
      <c r="AJ455" s="21">
        <v>0.22341176470588234</v>
      </c>
    </row>
    <row r="456" spans="1:36" x14ac:dyDescent="0.25">
      <c r="A456" s="17" t="s">
        <v>982</v>
      </c>
      <c r="B456" s="18" t="s">
        <v>983</v>
      </c>
      <c r="C456" s="19" t="s">
        <v>261</v>
      </c>
      <c r="D456" s="20" t="s">
        <v>292</v>
      </c>
      <c r="E456" s="20">
        <v>6</v>
      </c>
      <c r="F456" s="20" t="s">
        <v>775</v>
      </c>
      <c r="G456" s="20" t="s">
        <v>994</v>
      </c>
      <c r="H456" s="5">
        <f t="shared" si="7"/>
        <v>225.23923529411761</v>
      </c>
      <c r="I456" s="21">
        <v>0.14138235294117646</v>
      </c>
      <c r="J456" s="21">
        <v>0.42973529411764699</v>
      </c>
      <c r="K456" s="21">
        <v>4.3454117647058821</v>
      </c>
      <c r="L456" s="6">
        <v>0.24094117647058824</v>
      </c>
      <c r="M456" s="21">
        <v>0.32232352941176468</v>
      </c>
      <c r="N456" s="21">
        <v>51.07561764705882</v>
      </c>
      <c r="O456" s="21">
        <v>0</v>
      </c>
      <c r="P456" s="21">
        <v>0</v>
      </c>
      <c r="Q456" s="21">
        <v>14.467499999999998</v>
      </c>
      <c r="R456" s="21">
        <v>0.35279411764705881</v>
      </c>
      <c r="S456" s="21">
        <v>9.501352941176469</v>
      </c>
      <c r="T456" s="21">
        <v>0</v>
      </c>
      <c r="U456" s="21">
        <v>0</v>
      </c>
      <c r="V456" s="21">
        <v>69.468558823529406</v>
      </c>
      <c r="W456" s="21">
        <v>5.3453235294117638</v>
      </c>
      <c r="X456" s="21">
        <v>63.227352941176463</v>
      </c>
      <c r="Y456" s="21">
        <v>0.15085294117647058</v>
      </c>
      <c r="Z456" s="21">
        <v>3.2071176470588232</v>
      </c>
      <c r="AA456" s="21">
        <v>0.20961764705882352</v>
      </c>
      <c r="AB456" s="21">
        <v>1.2122941176470587</v>
      </c>
      <c r="AC456" s="21">
        <v>0.92714705882352932</v>
      </c>
      <c r="AD456" s="21">
        <v>6.7352941176470581E-3</v>
      </c>
      <c r="AE456" s="21">
        <v>5.8000000000000003E-2</v>
      </c>
      <c r="AF456" s="21">
        <v>2.676470588235294E-2</v>
      </c>
      <c r="AG456" s="21">
        <v>0.11102941176470588</v>
      </c>
      <c r="AH456" s="21">
        <v>0.1363235294117647</v>
      </c>
      <c r="AI456" s="21">
        <v>3.9970588235294112E-2</v>
      </c>
      <c r="AJ456" s="21">
        <v>0.23508823529411763</v>
      </c>
    </row>
    <row r="457" spans="1:36" x14ac:dyDescent="0.25">
      <c r="A457" s="17" t="s">
        <v>984</v>
      </c>
      <c r="B457" s="18" t="s">
        <v>985</v>
      </c>
      <c r="C457" s="19" t="s">
        <v>261</v>
      </c>
      <c r="D457" s="20" t="s">
        <v>288</v>
      </c>
      <c r="E457" s="20">
        <v>6</v>
      </c>
      <c r="F457" s="20" t="s">
        <v>775</v>
      </c>
      <c r="G457" s="20" t="s">
        <v>994</v>
      </c>
      <c r="H457" s="5">
        <f t="shared" si="7"/>
        <v>484.43299999999999</v>
      </c>
      <c r="I457" s="21">
        <v>0.22729411764705881</v>
      </c>
      <c r="J457" s="21">
        <v>0.80397058823529399</v>
      </c>
      <c r="K457" s="21">
        <v>10.590323529411764</v>
      </c>
      <c r="L457" s="6">
        <v>0.61649999999999994</v>
      </c>
      <c r="M457" s="21">
        <v>0.7354705882352941</v>
      </c>
      <c r="N457" s="21">
        <v>110.51888235294116</v>
      </c>
      <c r="O457" s="21">
        <v>3.529411764705882E-4</v>
      </c>
      <c r="P457" s="21">
        <v>0</v>
      </c>
      <c r="Q457" s="21">
        <v>35.193205882352942</v>
      </c>
      <c r="R457" s="21">
        <v>0.81888235294117639</v>
      </c>
      <c r="S457" s="21">
        <v>19.269764705882352</v>
      </c>
      <c r="T457" s="21">
        <v>0</v>
      </c>
      <c r="U457" s="21">
        <v>0</v>
      </c>
      <c r="V457" s="21">
        <v>146.59291176470586</v>
      </c>
      <c r="W457" s="21">
        <v>12.383588235294116</v>
      </c>
      <c r="X457" s="21">
        <v>132.9615588235294</v>
      </c>
      <c r="Y457" s="21">
        <v>0.26861764705882352</v>
      </c>
      <c r="Z457" s="21">
        <v>7.1575588235294116</v>
      </c>
      <c r="AA457" s="21">
        <v>0.39605882352941174</v>
      </c>
      <c r="AB457" s="21">
        <v>2.5162647058823526</v>
      </c>
      <c r="AC457" s="21">
        <v>1.952911764705882</v>
      </c>
      <c r="AD457" s="21">
        <v>3.6558823529411762E-2</v>
      </c>
      <c r="AE457" s="21">
        <v>0.10461764705882351</v>
      </c>
      <c r="AF457" s="21">
        <v>3.5088235294117642E-2</v>
      </c>
      <c r="AG457" s="21">
        <v>0.20526470588235293</v>
      </c>
      <c r="AH457" s="21">
        <v>0.3424117647058823</v>
      </c>
      <c r="AI457" s="21">
        <v>6.9264705882352937E-2</v>
      </c>
      <c r="AJ457" s="21">
        <v>0.63567647058823518</v>
      </c>
    </row>
    <row r="458" spans="1:36" x14ac:dyDescent="0.25">
      <c r="A458" s="17" t="s">
        <v>986</v>
      </c>
      <c r="B458" s="18" t="s">
        <v>987</v>
      </c>
      <c r="C458" s="19" t="s">
        <v>261</v>
      </c>
      <c r="D458" s="20" t="s">
        <v>284</v>
      </c>
      <c r="E458" s="20">
        <v>6</v>
      </c>
      <c r="F458" s="20" t="s">
        <v>775</v>
      </c>
      <c r="G458" s="20" t="s">
        <v>994</v>
      </c>
      <c r="H458" s="5">
        <f t="shared" si="7"/>
        <v>362.70291176470585</v>
      </c>
      <c r="I458" s="21">
        <v>0.14464705882352941</v>
      </c>
      <c r="J458" s="21">
        <v>0.53847058823529403</v>
      </c>
      <c r="K458" s="21">
        <v>5.5360588235294115</v>
      </c>
      <c r="L458" s="6">
        <v>0.40476470588235286</v>
      </c>
      <c r="M458" s="21">
        <v>0.626235294117647</v>
      </c>
      <c r="N458" s="21">
        <v>72.150941176470582</v>
      </c>
      <c r="O458" s="21">
        <v>1.817647058823529E-2</v>
      </c>
      <c r="P458" s="21">
        <v>2.5323529411764703E-2</v>
      </c>
      <c r="Q458" s="21">
        <v>24.354529411764705</v>
      </c>
      <c r="R458" s="21">
        <v>0.61841176470588233</v>
      </c>
      <c r="S458" s="21">
        <v>9.5659999999999989</v>
      </c>
      <c r="T458" s="21">
        <v>0</v>
      </c>
      <c r="U458" s="21">
        <v>0</v>
      </c>
      <c r="V458" s="21">
        <v>102.49597058823528</v>
      </c>
      <c r="W458" s="21">
        <v>9.1182352941176461</v>
      </c>
      <c r="X458" s="21">
        <v>124.09147058823528</v>
      </c>
      <c r="Y458" s="21">
        <v>0.28226470588235292</v>
      </c>
      <c r="Z458" s="21">
        <v>6.942441176470588</v>
      </c>
      <c r="AA458" s="21">
        <v>0.36782352941176472</v>
      </c>
      <c r="AB458" s="21">
        <v>2.9934411764705882</v>
      </c>
      <c r="AC458" s="21">
        <v>1.4705294117647056</v>
      </c>
      <c r="AD458" s="21">
        <v>3.9176470588235292E-2</v>
      </c>
      <c r="AE458" s="21">
        <v>7.4794117647058816E-2</v>
      </c>
      <c r="AF458" s="21">
        <v>4.7147058823529403E-2</v>
      </c>
      <c r="AG458" s="21">
        <v>0.18791176470588233</v>
      </c>
      <c r="AH458" s="21">
        <v>0.18314705882352939</v>
      </c>
      <c r="AI458" s="21">
        <v>4.8823529411764703E-2</v>
      </c>
      <c r="AJ458" s="21">
        <v>0.37617647058823528</v>
      </c>
    </row>
    <row r="459" spans="1:36" x14ac:dyDescent="0.25">
      <c r="A459" s="22" t="s">
        <v>988</v>
      </c>
      <c r="B459" s="23" t="s">
        <v>989</v>
      </c>
      <c r="C459" s="24" t="s">
        <v>261</v>
      </c>
      <c r="D459" s="25" t="s">
        <v>286</v>
      </c>
      <c r="E459" s="25">
        <v>6</v>
      </c>
      <c r="F459" s="25" t="s">
        <v>775</v>
      </c>
      <c r="G459" s="20" t="s">
        <v>994</v>
      </c>
      <c r="H459" s="5">
        <f t="shared" si="7"/>
        <v>278.42517647058821</v>
      </c>
      <c r="I459" s="26">
        <v>0.16697058823529412</v>
      </c>
      <c r="J459" s="26">
        <v>0.5358235294117647</v>
      </c>
      <c r="K459" s="26">
        <v>5.8077058823529413</v>
      </c>
      <c r="L459" s="12">
        <v>0.27082352941176469</v>
      </c>
      <c r="M459" s="26">
        <v>0.48564705882352932</v>
      </c>
      <c r="N459" s="26">
        <v>66.252558823529412</v>
      </c>
      <c r="O459" s="26">
        <v>4.8705882352941168E-2</v>
      </c>
      <c r="P459" s="26">
        <v>7.6999999999999985E-2</v>
      </c>
      <c r="Q459" s="26">
        <v>14.372117647058822</v>
      </c>
      <c r="R459" s="26">
        <v>0.57397058823529401</v>
      </c>
      <c r="S459" s="26">
        <v>12.365647058823528</v>
      </c>
      <c r="T459" s="26">
        <v>0</v>
      </c>
      <c r="U459" s="26">
        <v>0</v>
      </c>
      <c r="V459" s="26">
        <v>79.38011764705881</v>
      </c>
      <c r="W459" s="26">
        <v>6.3106470588235295</v>
      </c>
      <c r="X459" s="26">
        <v>83.355647058823521</v>
      </c>
      <c r="Y459" s="26">
        <v>0.13785294117647059</v>
      </c>
      <c r="Z459" s="26">
        <v>4.2864705882352938</v>
      </c>
      <c r="AA459" s="26">
        <v>0.26202941176470584</v>
      </c>
      <c r="AB459" s="26">
        <v>1.7260882352941176</v>
      </c>
      <c r="AC459" s="26">
        <v>1.1383529411764706</v>
      </c>
      <c r="AD459" s="26">
        <v>8.8235294117647058E-3</v>
      </c>
      <c r="AE459" s="26">
        <v>7.2852941176470579E-2</v>
      </c>
      <c r="AF459" s="26">
        <v>1.7235294117647057E-2</v>
      </c>
      <c r="AG459" s="26">
        <v>0.15741176470588233</v>
      </c>
      <c r="AH459" s="26">
        <v>0.21852941176470589</v>
      </c>
      <c r="AI459" s="26">
        <v>5.5117647058823521E-2</v>
      </c>
      <c r="AJ459" s="26">
        <v>0.34102941176470586</v>
      </c>
    </row>
  </sheetData>
  <conditionalFormatting sqref="D1">
    <cfRule type="containsText" dxfId="4" priority="4" stopIfTrue="1" operator="containsText" text="OMM7">
      <formula>NOT(ISERROR(SEARCH("OMM7",D1)))</formula>
    </cfRule>
  </conditionalFormatting>
  <conditionalFormatting sqref="D116:D293">
    <cfRule type="containsText" dxfId="3" priority="3" stopIfTrue="1" operator="containsText" text="OMM7">
      <formula>NOT(ISERROR(SEARCH("OMM7",D116)))</formula>
    </cfRule>
  </conditionalFormatting>
  <conditionalFormatting sqref="D294:D321">
    <cfRule type="containsText" dxfId="2" priority="2" stopIfTrue="1" operator="containsText" text="OMM7">
      <formula>NOT(ISERROR(SEARCH("OMM7",D294)))</formula>
    </cfRule>
  </conditionalFormatting>
  <printOptions horizontalCentered="1"/>
  <pageMargins left="0.196850393700787" right="0.196850393700787" top="0.39370078740157499" bottom="0.39370078740157499" header="0.196850393700787" footer="0.196850393700787"/>
  <pageSetup paperSize="9" scale="42" fitToWidth="2" fitToHeight="2" pageOrder="overThenDown" orientation="landscape" r:id="rId1"/>
  <headerFooter>
    <oddHeader>&amp;CSeite &amp;P von &amp;N</oddHeader>
    <oddFooter>&amp;C&amp;A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42"/>
  <sheetViews>
    <sheetView tabSelected="1" zoomScaleNormal="100" workbookViewId="0">
      <selection activeCell="F22" sqref="F22"/>
    </sheetView>
  </sheetViews>
  <sheetFormatPr baseColWidth="10" defaultRowHeight="14.4" x14ac:dyDescent="0.3"/>
  <cols>
    <col min="1" max="1" width="21.6640625" bestFit="1" customWidth="1"/>
    <col min="6" max="6" width="31.5546875" bestFit="1" customWidth="1"/>
    <col min="7" max="7" width="31.5546875" customWidth="1"/>
    <col min="9" max="11" width="11.5546875" bestFit="1" customWidth="1"/>
    <col min="12" max="12" width="14.88671875" bestFit="1" customWidth="1"/>
    <col min="13" max="13" width="11.5546875" bestFit="1" customWidth="1"/>
    <col min="14" max="16" width="18.44140625" bestFit="1" customWidth="1"/>
    <col min="17" max="17" width="18.5546875" bestFit="1" customWidth="1"/>
    <col min="18" max="18" width="11.5546875" bestFit="1" customWidth="1"/>
    <col min="19" max="21" width="17.88671875" bestFit="1" customWidth="1"/>
    <col min="22" max="22" width="18.5546875" bestFit="1" customWidth="1"/>
    <col min="23" max="23" width="19.5546875" bestFit="1" customWidth="1"/>
    <col min="24" max="24" width="22.33203125" bestFit="1" customWidth="1"/>
    <col min="25" max="25" width="26" bestFit="1" customWidth="1"/>
    <col min="26" max="26" width="11.5546875" bestFit="1" customWidth="1"/>
    <col min="27" max="27" width="28.5546875" bestFit="1" customWidth="1"/>
    <col min="28" max="28" width="28.5546875" customWidth="1"/>
    <col min="29" max="29" width="11.5546875" bestFit="1" customWidth="1"/>
    <col min="30" max="30" width="32.33203125" bestFit="1" customWidth="1"/>
    <col min="31" max="31" width="32.33203125" customWidth="1"/>
    <col min="32" max="32" width="29.5546875" bestFit="1" customWidth="1"/>
    <col min="33" max="33" width="29.5546875" customWidth="1"/>
    <col min="34" max="34" width="35.88671875" bestFit="1" customWidth="1"/>
  </cols>
  <sheetData>
    <row r="1" spans="1:34" ht="15" thickBot="1" x14ac:dyDescent="0.35">
      <c r="A1" s="13" t="s">
        <v>708</v>
      </c>
      <c r="B1" s="14" t="s">
        <v>710</v>
      </c>
      <c r="C1" s="28" t="s">
        <v>0</v>
      </c>
      <c r="D1" s="28" t="s">
        <v>709</v>
      </c>
      <c r="E1" s="28" t="s">
        <v>1</v>
      </c>
      <c r="F1" s="28" t="s">
        <v>990</v>
      </c>
      <c r="G1" s="28" t="s">
        <v>993</v>
      </c>
      <c r="H1" s="39" t="s">
        <v>1011</v>
      </c>
      <c r="I1" s="48" t="s">
        <v>2</v>
      </c>
      <c r="J1" s="48" t="s">
        <v>3</v>
      </c>
      <c r="K1" s="48" t="s">
        <v>4</v>
      </c>
      <c r="L1" s="49" t="s">
        <v>996</v>
      </c>
      <c r="M1" s="48" t="s">
        <v>5</v>
      </c>
      <c r="N1" s="48" t="s">
        <v>6</v>
      </c>
      <c r="O1" s="48" t="s">
        <v>992</v>
      </c>
      <c r="P1" s="48" t="s">
        <v>991</v>
      </c>
      <c r="Q1" s="48" t="s">
        <v>997</v>
      </c>
      <c r="R1" s="48" t="s">
        <v>7</v>
      </c>
      <c r="S1" s="48" t="s">
        <v>8</v>
      </c>
      <c r="T1" s="48" t="s">
        <v>9</v>
      </c>
      <c r="U1" s="48" t="s">
        <v>10</v>
      </c>
      <c r="V1" s="48" t="s">
        <v>998</v>
      </c>
      <c r="W1" s="48" t="s">
        <v>999</v>
      </c>
      <c r="X1" s="48" t="s">
        <v>1000</v>
      </c>
      <c r="Y1" s="48" t="s">
        <v>1002</v>
      </c>
      <c r="Z1" s="48" t="s">
        <v>11</v>
      </c>
      <c r="AA1" s="48" t="s">
        <v>1004</v>
      </c>
      <c r="AB1" s="48" t="s">
        <v>1005</v>
      </c>
      <c r="AC1" s="48" t="s">
        <v>12</v>
      </c>
      <c r="AD1" s="48" t="s">
        <v>1006</v>
      </c>
      <c r="AE1" s="48" t="s">
        <v>1007</v>
      </c>
      <c r="AF1" s="48" t="s">
        <v>1008</v>
      </c>
      <c r="AG1" s="48" t="s">
        <v>1009</v>
      </c>
      <c r="AH1" s="50" t="s">
        <v>1010</v>
      </c>
    </row>
    <row r="2" spans="1:34" x14ac:dyDescent="0.3">
      <c r="A2" s="32" t="s">
        <v>1013</v>
      </c>
      <c r="B2" s="20" t="s">
        <v>1014</v>
      </c>
      <c r="C2" s="20" t="s">
        <v>20</v>
      </c>
      <c r="D2" s="20" t="s">
        <v>21</v>
      </c>
      <c r="E2" s="20">
        <v>0</v>
      </c>
      <c r="F2" s="20" t="s">
        <v>1015</v>
      </c>
      <c r="G2" s="20" t="s">
        <v>1471</v>
      </c>
      <c r="H2" s="20">
        <f t="shared" ref="H2:H42" si="0">SUM(I2:AH2)</f>
        <v>30.58161764705882</v>
      </c>
      <c r="I2" s="33">
        <v>0.25426470588235295</v>
      </c>
      <c r="J2" s="33">
        <v>0.24117647058823527</v>
      </c>
      <c r="K2" s="33">
        <v>0.24073529411764702</v>
      </c>
      <c r="L2" s="33">
        <v>0</v>
      </c>
      <c r="M2" s="33">
        <v>7.8823529411764709E-2</v>
      </c>
      <c r="N2" s="33">
        <v>12.567499999999999</v>
      </c>
      <c r="O2" s="33">
        <v>0</v>
      </c>
      <c r="P2" s="33">
        <v>0</v>
      </c>
      <c r="Q2" s="33">
        <v>0.66573529411764698</v>
      </c>
      <c r="R2" s="33">
        <v>7.7352941176470583E-2</v>
      </c>
      <c r="S2" s="33">
        <v>2.3738235294117644</v>
      </c>
      <c r="T2" s="33">
        <v>0</v>
      </c>
      <c r="U2" s="33">
        <v>0</v>
      </c>
      <c r="V2" s="33">
        <v>3.6436764705882347</v>
      </c>
      <c r="W2" s="33">
        <v>0.38397058823529406</v>
      </c>
      <c r="X2" s="33">
        <v>7.1823529411764699</v>
      </c>
      <c r="Y2" s="33">
        <v>0.11323529411764705</v>
      </c>
      <c r="Z2" s="33">
        <v>2.2352941176470589E-2</v>
      </c>
      <c r="AA2" s="33">
        <v>2.2017647058823524</v>
      </c>
      <c r="AB2" s="33">
        <v>0</v>
      </c>
      <c r="AC2" s="33">
        <v>1.1911764705882353E-2</v>
      </c>
      <c r="AD2" s="33">
        <v>4.8676470588235286E-2</v>
      </c>
      <c r="AE2" s="33">
        <v>0</v>
      </c>
      <c r="AF2" s="33">
        <v>0</v>
      </c>
      <c r="AG2" s="33">
        <v>0</v>
      </c>
      <c r="AH2" s="33">
        <v>0.47426470588235292</v>
      </c>
    </row>
    <row r="3" spans="1:34" x14ac:dyDescent="0.3">
      <c r="A3" s="32" t="s">
        <v>1016</v>
      </c>
      <c r="B3" s="20" t="s">
        <v>1017</v>
      </c>
      <c r="C3" s="20" t="s">
        <v>146</v>
      </c>
      <c r="D3" s="20" t="s">
        <v>141</v>
      </c>
      <c r="E3" s="20">
        <v>0</v>
      </c>
      <c r="F3" s="20" t="s">
        <v>1015</v>
      </c>
      <c r="G3" s="20" t="s">
        <v>1471</v>
      </c>
      <c r="H3" s="20">
        <f t="shared" si="0"/>
        <v>39.284558823529416</v>
      </c>
      <c r="I3" s="33">
        <v>0.32735294117647057</v>
      </c>
      <c r="J3" s="33">
        <v>0.29529411764705882</v>
      </c>
      <c r="K3" s="33">
        <v>0.3276470588235294</v>
      </c>
      <c r="L3" s="33">
        <v>0</v>
      </c>
      <c r="M3" s="33">
        <v>0.15691176470588236</v>
      </c>
      <c r="N3" s="33">
        <v>15.208823529411763</v>
      </c>
      <c r="O3" s="33">
        <v>0</v>
      </c>
      <c r="P3" s="33">
        <v>0</v>
      </c>
      <c r="Q3" s="33">
        <v>0.80205882352941171</v>
      </c>
      <c r="R3" s="33">
        <v>0.12235294117647055</v>
      </c>
      <c r="S3" s="33">
        <v>2.5722058823529408</v>
      </c>
      <c r="T3" s="33">
        <v>0</v>
      </c>
      <c r="U3" s="33">
        <v>0</v>
      </c>
      <c r="V3" s="33">
        <v>4.6619117647058825</v>
      </c>
      <c r="W3" s="33">
        <v>0.71735294117647053</v>
      </c>
      <c r="X3" s="33">
        <v>10.462941176470588</v>
      </c>
      <c r="Y3" s="33">
        <v>0.14588235294117646</v>
      </c>
      <c r="Z3" s="33">
        <v>2.9558823529411762E-2</v>
      </c>
      <c r="AA3" s="33">
        <v>2.7779411764705881</v>
      </c>
      <c r="AB3" s="33">
        <v>0</v>
      </c>
      <c r="AC3" s="33">
        <v>2.5735294117647058E-2</v>
      </c>
      <c r="AD3" s="33">
        <v>8.3823529411764713E-2</v>
      </c>
      <c r="AE3" s="33">
        <v>0</v>
      </c>
      <c r="AF3" s="33">
        <v>1.4705882352941178E-4</v>
      </c>
      <c r="AG3" s="33">
        <v>0</v>
      </c>
      <c r="AH3" s="33">
        <v>0.56661764705882345</v>
      </c>
    </row>
    <row r="4" spans="1:34" x14ac:dyDescent="0.3">
      <c r="A4" s="32" t="s">
        <v>1018</v>
      </c>
      <c r="B4" s="20" t="s">
        <v>1019</v>
      </c>
      <c r="C4" s="20" t="s">
        <v>261</v>
      </c>
      <c r="D4" s="20" t="s">
        <v>262</v>
      </c>
      <c r="E4" s="20">
        <v>0</v>
      </c>
      <c r="F4" s="20" t="s">
        <v>1015</v>
      </c>
      <c r="G4" s="20" t="s">
        <v>1471</v>
      </c>
      <c r="H4" s="20">
        <f t="shared" si="0"/>
        <v>66.03338235294116</v>
      </c>
      <c r="I4" s="33">
        <v>1.0452941176470589</v>
      </c>
      <c r="J4" s="33">
        <v>0.6419117647058824</v>
      </c>
      <c r="K4" s="33">
        <v>0.63485294117647051</v>
      </c>
      <c r="L4" s="33">
        <v>0</v>
      </c>
      <c r="M4" s="33">
        <v>0.19397058823529409</v>
      </c>
      <c r="N4" s="33">
        <v>28.350588235294115</v>
      </c>
      <c r="O4" s="33">
        <v>0</v>
      </c>
      <c r="P4" s="33">
        <v>0</v>
      </c>
      <c r="Q4" s="33">
        <v>1.7532352941176472</v>
      </c>
      <c r="R4" s="33">
        <v>0.15117647058823527</v>
      </c>
      <c r="S4" s="33">
        <v>4.8620588235294111</v>
      </c>
      <c r="T4" s="33">
        <v>0</v>
      </c>
      <c r="U4" s="33">
        <v>0</v>
      </c>
      <c r="V4" s="33">
        <v>7.2919117647058815</v>
      </c>
      <c r="W4" s="33">
        <v>1.2579411764705883</v>
      </c>
      <c r="X4" s="33">
        <v>15.701470588235294</v>
      </c>
      <c r="Y4" s="33">
        <v>0.17044117647058821</v>
      </c>
      <c r="Z4" s="33">
        <v>2.4852941176470585E-2</v>
      </c>
      <c r="AA4" s="33">
        <v>3.1045588235294113</v>
      </c>
      <c r="AB4" s="33">
        <v>0</v>
      </c>
      <c r="AC4" s="33">
        <v>1.7352941176470588E-2</v>
      </c>
      <c r="AD4" s="33">
        <v>0.1679411764705882</v>
      </c>
      <c r="AE4" s="33">
        <v>0</v>
      </c>
      <c r="AF4" s="33">
        <v>0</v>
      </c>
      <c r="AG4" s="33">
        <v>0</v>
      </c>
      <c r="AH4" s="33">
        <v>0.66382352941176459</v>
      </c>
    </row>
    <row r="5" spans="1:34" x14ac:dyDescent="0.3">
      <c r="A5" s="32" t="s">
        <v>1020</v>
      </c>
      <c r="B5" s="20" t="s">
        <v>1021</v>
      </c>
      <c r="C5" s="20" t="s">
        <v>20</v>
      </c>
      <c r="D5" s="20" t="s">
        <v>27</v>
      </c>
      <c r="E5" s="20">
        <v>1</v>
      </c>
      <c r="F5" s="20" t="s">
        <v>1015</v>
      </c>
      <c r="G5" s="20" t="s">
        <v>1471</v>
      </c>
      <c r="H5" s="20">
        <f t="shared" si="0"/>
        <v>36.34264705882353</v>
      </c>
      <c r="I5" s="33">
        <v>0.29838235294117643</v>
      </c>
      <c r="J5" s="33">
        <v>0.27808823529411764</v>
      </c>
      <c r="K5" s="33">
        <v>0.32294117647058818</v>
      </c>
      <c r="L5" s="33">
        <v>0</v>
      </c>
      <c r="M5" s="33">
        <v>0.11044117647058822</v>
      </c>
      <c r="N5" s="33">
        <v>15.44470588235294</v>
      </c>
      <c r="O5" s="33">
        <v>0</v>
      </c>
      <c r="P5" s="33">
        <v>0</v>
      </c>
      <c r="Q5" s="33">
        <v>1.1597058823529411</v>
      </c>
      <c r="R5" s="33">
        <v>9.1470588235294109E-2</v>
      </c>
      <c r="S5" s="33">
        <v>2.6282352941176468</v>
      </c>
      <c r="T5" s="33">
        <v>0</v>
      </c>
      <c r="U5" s="33">
        <v>0</v>
      </c>
      <c r="V5" s="33">
        <v>4.1241176470588234</v>
      </c>
      <c r="W5" s="33">
        <v>0.57367647058823534</v>
      </c>
      <c r="X5" s="33">
        <v>8.3667647058823533</v>
      </c>
      <c r="Y5" s="33">
        <v>0.10808823529411762</v>
      </c>
      <c r="Z5" s="33">
        <v>2.0588235294117643E-2</v>
      </c>
      <c r="AA5" s="33">
        <v>2.1605882352941173</v>
      </c>
      <c r="AB5" s="33">
        <v>0</v>
      </c>
      <c r="AC5" s="33">
        <v>1.1911764705882353E-2</v>
      </c>
      <c r="AD5" s="33">
        <v>8.4264705882352936E-2</v>
      </c>
      <c r="AE5" s="33">
        <v>0</v>
      </c>
      <c r="AF5" s="33">
        <v>2.9411764705882356E-4</v>
      </c>
      <c r="AG5" s="33">
        <v>0</v>
      </c>
      <c r="AH5" s="33">
        <v>0.55838235294117644</v>
      </c>
    </row>
    <row r="6" spans="1:34" x14ac:dyDescent="0.3">
      <c r="A6" s="32" t="s">
        <v>1022</v>
      </c>
      <c r="B6" s="20" t="s">
        <v>1023</v>
      </c>
      <c r="C6" s="20" t="s">
        <v>20</v>
      </c>
      <c r="D6" s="20" t="s">
        <v>29</v>
      </c>
      <c r="E6" s="20">
        <v>1</v>
      </c>
      <c r="F6" s="20" t="s">
        <v>1015</v>
      </c>
      <c r="G6" s="20" t="s">
        <v>1471</v>
      </c>
      <c r="H6" s="20">
        <f t="shared" si="0"/>
        <v>26.905441176470582</v>
      </c>
      <c r="I6" s="33">
        <v>0.48985294117647049</v>
      </c>
      <c r="J6" s="33">
        <v>0.49764705882352939</v>
      </c>
      <c r="K6" s="33">
        <v>0.4492647058823529</v>
      </c>
      <c r="L6" s="33">
        <v>0</v>
      </c>
      <c r="M6" s="33">
        <v>0.11029411764705882</v>
      </c>
      <c r="N6" s="33">
        <v>11.360882352941175</v>
      </c>
      <c r="O6" s="33">
        <v>0</v>
      </c>
      <c r="P6" s="33">
        <v>0</v>
      </c>
      <c r="Q6" s="33">
        <v>0.52382352941176458</v>
      </c>
      <c r="R6" s="33">
        <v>9.0441176470588219E-2</v>
      </c>
      <c r="S6" s="33">
        <v>2.6398529411764704</v>
      </c>
      <c r="T6" s="33">
        <v>0</v>
      </c>
      <c r="U6" s="33">
        <v>0</v>
      </c>
      <c r="V6" s="33">
        <v>2.9830882352941175</v>
      </c>
      <c r="W6" s="33">
        <v>0.2752941176470588</v>
      </c>
      <c r="X6" s="33">
        <v>5.3125</v>
      </c>
      <c r="Y6" s="33">
        <v>7.5441176470588234E-2</v>
      </c>
      <c r="Z6" s="33">
        <v>5.514705882352941E-2</v>
      </c>
      <c r="AA6" s="33">
        <v>1.5908823529411764</v>
      </c>
      <c r="AB6" s="33">
        <v>0</v>
      </c>
      <c r="AC6" s="33">
        <v>3.2500000000000001E-2</v>
      </c>
      <c r="AD6" s="33">
        <v>5.3529411764705881E-2</v>
      </c>
      <c r="AE6" s="33">
        <v>0</v>
      </c>
      <c r="AF6" s="33">
        <v>0</v>
      </c>
      <c r="AG6" s="33">
        <v>0</v>
      </c>
      <c r="AH6" s="33">
        <v>0.36499999999999999</v>
      </c>
    </row>
    <row r="7" spans="1:34" x14ac:dyDescent="0.3">
      <c r="A7" s="32" t="s">
        <v>1024</v>
      </c>
      <c r="B7" s="20" t="s">
        <v>1025</v>
      </c>
      <c r="C7" s="20" t="s">
        <v>20</v>
      </c>
      <c r="D7" s="20" t="s">
        <v>31</v>
      </c>
      <c r="E7" s="20">
        <v>1</v>
      </c>
      <c r="F7" s="20" t="s">
        <v>1015</v>
      </c>
      <c r="G7" s="20" t="s">
        <v>1471</v>
      </c>
      <c r="H7" s="20">
        <f t="shared" si="0"/>
        <v>18.848823529411757</v>
      </c>
      <c r="I7" s="33">
        <v>0.32735294117647057</v>
      </c>
      <c r="J7" s="33">
        <v>0.37514705882352944</v>
      </c>
      <c r="K7" s="33">
        <v>0.33455882352941174</v>
      </c>
      <c r="L7" s="33">
        <v>0</v>
      </c>
      <c r="M7" s="33">
        <v>9.9705882352941172E-2</v>
      </c>
      <c r="N7" s="33">
        <v>8.0673529411764697</v>
      </c>
      <c r="O7" s="33">
        <v>0</v>
      </c>
      <c r="P7" s="33">
        <v>0</v>
      </c>
      <c r="Q7" s="33">
        <v>0.4669117647058823</v>
      </c>
      <c r="R7" s="33">
        <v>6.3970588235294112E-2</v>
      </c>
      <c r="S7" s="33">
        <v>1.6680882352941175</v>
      </c>
      <c r="T7" s="33">
        <v>0</v>
      </c>
      <c r="U7" s="33">
        <v>0</v>
      </c>
      <c r="V7" s="33">
        <v>2.4038235294117642</v>
      </c>
      <c r="W7" s="33">
        <v>0.26750000000000002</v>
      </c>
      <c r="X7" s="33">
        <v>3.3992647058823526</v>
      </c>
      <c r="Y7" s="33">
        <v>6.3823529411764696E-2</v>
      </c>
      <c r="Z7" s="33">
        <v>1.955882352941176E-2</v>
      </c>
      <c r="AA7" s="33">
        <v>1.0020588235294117</v>
      </c>
      <c r="AB7" s="33">
        <v>0</v>
      </c>
      <c r="AC7" s="33">
        <v>1.6911764705882352E-2</v>
      </c>
      <c r="AD7" s="33">
        <v>3.2794117647058821E-2</v>
      </c>
      <c r="AE7" s="33">
        <v>0</v>
      </c>
      <c r="AF7" s="33">
        <v>0</v>
      </c>
      <c r="AG7" s="33">
        <v>0</v>
      </c>
      <c r="AH7" s="33">
        <v>0.24</v>
      </c>
    </row>
    <row r="8" spans="1:34" x14ac:dyDescent="0.3">
      <c r="A8" s="32" t="s">
        <v>1026</v>
      </c>
      <c r="B8" s="20" t="s">
        <v>1027</v>
      </c>
      <c r="C8" s="20" t="s">
        <v>20</v>
      </c>
      <c r="D8" s="20" t="s">
        <v>23</v>
      </c>
      <c r="E8" s="20">
        <v>1</v>
      </c>
      <c r="F8" s="20" t="s">
        <v>1015</v>
      </c>
      <c r="G8" s="20" t="s">
        <v>1471</v>
      </c>
      <c r="H8" s="20">
        <f t="shared" si="0"/>
        <v>28.088088235294116</v>
      </c>
      <c r="I8" s="33">
        <v>0.44897058823529407</v>
      </c>
      <c r="J8" s="33">
        <v>0.58014705882352935</v>
      </c>
      <c r="K8" s="33">
        <v>0.58088235294117641</v>
      </c>
      <c r="L8" s="33">
        <v>0</v>
      </c>
      <c r="M8" s="33">
        <v>0.11735294117647058</v>
      </c>
      <c r="N8" s="33">
        <v>12.967058823529412</v>
      </c>
      <c r="O8" s="33">
        <v>0</v>
      </c>
      <c r="P8" s="33">
        <v>0</v>
      </c>
      <c r="Q8" s="33">
        <v>0.91205882352941159</v>
      </c>
      <c r="R8" s="33">
        <v>6.7205882352941171E-2</v>
      </c>
      <c r="S8" s="33">
        <v>1.8317647058823527</v>
      </c>
      <c r="T8" s="33">
        <v>0</v>
      </c>
      <c r="U8" s="33">
        <v>0</v>
      </c>
      <c r="V8" s="33">
        <v>2.7779411764705881</v>
      </c>
      <c r="W8" s="33">
        <v>0.31602941176470584</v>
      </c>
      <c r="X8" s="33">
        <v>5.7502941176470577</v>
      </c>
      <c r="Y8" s="33">
        <v>7.0294117647058826E-2</v>
      </c>
      <c r="Z8" s="33">
        <v>1.9411764705882351E-2</v>
      </c>
      <c r="AA8" s="33">
        <v>1.3251470588235292</v>
      </c>
      <c r="AB8" s="33">
        <v>0</v>
      </c>
      <c r="AC8" s="33">
        <v>9.8529411764705886E-3</v>
      </c>
      <c r="AD8" s="33">
        <v>5.6323529411764703E-2</v>
      </c>
      <c r="AE8" s="33">
        <v>0</v>
      </c>
      <c r="AF8" s="33">
        <v>0</v>
      </c>
      <c r="AG8" s="33">
        <v>0</v>
      </c>
      <c r="AH8" s="33">
        <v>0.25735294117647056</v>
      </c>
    </row>
    <row r="9" spans="1:34" x14ac:dyDescent="0.3">
      <c r="A9" s="32" t="s">
        <v>1028</v>
      </c>
      <c r="B9" s="20" t="s">
        <v>1029</v>
      </c>
      <c r="C9" s="20" t="s">
        <v>20</v>
      </c>
      <c r="D9" s="20" t="s">
        <v>25</v>
      </c>
      <c r="E9" s="20">
        <v>1</v>
      </c>
      <c r="F9" s="20" t="s">
        <v>1015</v>
      </c>
      <c r="G9" s="20" t="s">
        <v>1471</v>
      </c>
      <c r="H9" s="20">
        <f t="shared" si="0"/>
        <v>24.309852941176466</v>
      </c>
      <c r="I9" s="33">
        <v>0.32735294117647057</v>
      </c>
      <c r="J9" s="33">
        <v>0.36176470588235288</v>
      </c>
      <c r="K9" s="33">
        <v>0.39249999999999996</v>
      </c>
      <c r="L9" s="33">
        <v>0</v>
      </c>
      <c r="M9" s="33">
        <v>9.2647058823529402E-2</v>
      </c>
      <c r="N9" s="33">
        <v>10.472647058823528</v>
      </c>
      <c r="O9" s="33">
        <v>0</v>
      </c>
      <c r="P9" s="33">
        <v>0</v>
      </c>
      <c r="Q9" s="33">
        <v>0.75102941176470583</v>
      </c>
      <c r="R9" s="33">
        <v>6.3382352941176459E-2</v>
      </c>
      <c r="S9" s="33">
        <v>1.7899999999999996</v>
      </c>
      <c r="T9" s="33">
        <v>0</v>
      </c>
      <c r="U9" s="33">
        <v>0</v>
      </c>
      <c r="V9" s="33">
        <v>2.3504411764705879</v>
      </c>
      <c r="W9" s="33">
        <v>0.34294117647058819</v>
      </c>
      <c r="X9" s="33">
        <v>5.591176470588235</v>
      </c>
      <c r="Y9" s="33">
        <v>7.4117647058823524E-2</v>
      </c>
      <c r="Z9" s="33">
        <v>2.3676470588235295E-2</v>
      </c>
      <c r="AA9" s="33">
        <v>1.3535294117647056</v>
      </c>
      <c r="AB9" s="33">
        <v>0</v>
      </c>
      <c r="AC9" s="33">
        <v>1.2794117647058822E-2</v>
      </c>
      <c r="AD9" s="33">
        <v>5.2941176470588235E-2</v>
      </c>
      <c r="AE9" s="33">
        <v>0</v>
      </c>
      <c r="AF9" s="33">
        <v>2.9411764705882356E-4</v>
      </c>
      <c r="AG9" s="33">
        <v>0</v>
      </c>
      <c r="AH9" s="33">
        <v>0.25661764705882351</v>
      </c>
    </row>
    <row r="10" spans="1:34" x14ac:dyDescent="0.3">
      <c r="A10" s="32" t="s">
        <v>1030</v>
      </c>
      <c r="B10" s="20" t="s">
        <v>1031</v>
      </c>
      <c r="C10" s="20" t="s">
        <v>146</v>
      </c>
      <c r="D10" s="20" t="s">
        <v>143</v>
      </c>
      <c r="E10" s="20">
        <v>1</v>
      </c>
      <c r="F10" s="20" t="s">
        <v>1032</v>
      </c>
      <c r="G10" s="20" t="s">
        <v>1471</v>
      </c>
      <c r="H10" s="20">
        <f t="shared" si="0"/>
        <v>26.552352941176469</v>
      </c>
      <c r="I10" s="33">
        <v>0.28250000000000003</v>
      </c>
      <c r="J10" s="33">
        <v>0.59941176470588231</v>
      </c>
      <c r="K10" s="33">
        <v>0.28338235294117642</v>
      </c>
      <c r="L10" s="33">
        <v>0</v>
      </c>
      <c r="M10" s="33">
        <v>0.11558823529411766</v>
      </c>
      <c r="N10" s="33">
        <v>10.554705882352941</v>
      </c>
      <c r="O10" s="33">
        <v>0</v>
      </c>
      <c r="P10" s="33">
        <v>0</v>
      </c>
      <c r="Q10" s="33">
        <v>0.56235294117647061</v>
      </c>
      <c r="R10" s="33">
        <v>7.4411764705882344E-2</v>
      </c>
      <c r="S10" s="33">
        <v>2.3154411764705882</v>
      </c>
      <c r="T10" s="33">
        <v>0</v>
      </c>
      <c r="U10" s="33">
        <v>0</v>
      </c>
      <c r="V10" s="33">
        <v>2.8525</v>
      </c>
      <c r="W10" s="33">
        <v>0.28602941176470587</v>
      </c>
      <c r="X10" s="33">
        <v>6.170588235294117</v>
      </c>
      <c r="Y10" s="33">
        <v>8.5000000000000006E-2</v>
      </c>
      <c r="Z10" s="33">
        <v>2.8676470588235289E-2</v>
      </c>
      <c r="AA10" s="33">
        <v>1.8463235294117644</v>
      </c>
      <c r="AB10" s="33">
        <v>0</v>
      </c>
      <c r="AC10" s="33">
        <v>2.4411764705882352E-2</v>
      </c>
      <c r="AD10" s="33">
        <v>3.5000000000000003E-2</v>
      </c>
      <c r="AE10" s="33">
        <v>0</v>
      </c>
      <c r="AF10" s="33">
        <v>3.8970588235294118E-2</v>
      </c>
      <c r="AG10" s="33">
        <v>0</v>
      </c>
      <c r="AH10" s="33">
        <v>0.39705882352941174</v>
      </c>
    </row>
    <row r="11" spans="1:34" x14ac:dyDescent="0.3">
      <c r="A11" s="32" t="s">
        <v>1033</v>
      </c>
      <c r="B11" s="20" t="s">
        <v>1034</v>
      </c>
      <c r="C11" s="20" t="s">
        <v>146</v>
      </c>
      <c r="D11" s="20" t="s">
        <v>145</v>
      </c>
      <c r="E11" s="20">
        <v>1</v>
      </c>
      <c r="F11" s="20" t="s">
        <v>1015</v>
      </c>
      <c r="G11" s="20" t="s">
        <v>1471</v>
      </c>
      <c r="H11" s="20">
        <f t="shared" si="0"/>
        <v>32.229264705882358</v>
      </c>
      <c r="I11" s="33">
        <v>0.42426470588235293</v>
      </c>
      <c r="J11" s="33">
        <v>0.46499999999999997</v>
      </c>
      <c r="K11" s="33">
        <v>0.42999999999999994</v>
      </c>
      <c r="L11" s="33">
        <v>0</v>
      </c>
      <c r="M11" s="33">
        <v>0.1363235294117647</v>
      </c>
      <c r="N11" s="33">
        <v>13.660147058823529</v>
      </c>
      <c r="O11" s="33">
        <v>0</v>
      </c>
      <c r="P11" s="33">
        <v>0</v>
      </c>
      <c r="Q11" s="33">
        <v>0.69455882352941178</v>
      </c>
      <c r="R11" s="33">
        <v>9.8235294117647046E-2</v>
      </c>
      <c r="S11" s="33">
        <v>2.4726470588235294</v>
      </c>
      <c r="T11" s="33">
        <v>0</v>
      </c>
      <c r="U11" s="33">
        <v>0</v>
      </c>
      <c r="V11" s="33">
        <v>3.3360294117647054</v>
      </c>
      <c r="W11" s="33">
        <v>0.46294117647058819</v>
      </c>
      <c r="X11" s="33">
        <v>7.4438235294117643</v>
      </c>
      <c r="Y11" s="33">
        <v>8.5882352941176465E-2</v>
      </c>
      <c r="Z11" s="33">
        <v>2.5441176470588234E-2</v>
      </c>
      <c r="AA11" s="33">
        <v>2.0116176470588232</v>
      </c>
      <c r="AB11" s="33">
        <v>0</v>
      </c>
      <c r="AC11" s="33">
        <v>1.7941176470588231E-2</v>
      </c>
      <c r="AD11" s="33">
        <v>4.8529411764705876E-2</v>
      </c>
      <c r="AE11" s="33">
        <v>0</v>
      </c>
      <c r="AF11" s="33">
        <v>0</v>
      </c>
      <c r="AG11" s="33">
        <v>0</v>
      </c>
      <c r="AH11" s="33">
        <v>0.41588235294117643</v>
      </c>
    </row>
    <row r="12" spans="1:34" x14ac:dyDescent="0.3">
      <c r="A12" s="32" t="s">
        <v>1035</v>
      </c>
      <c r="B12" s="20" t="s">
        <v>1036</v>
      </c>
      <c r="C12" s="20" t="s">
        <v>146</v>
      </c>
      <c r="D12" s="20" t="s">
        <v>146</v>
      </c>
      <c r="E12" s="20">
        <v>1</v>
      </c>
      <c r="F12" s="20" t="s">
        <v>1015</v>
      </c>
      <c r="G12" s="20" t="s">
        <v>1471</v>
      </c>
      <c r="H12" s="20">
        <f t="shared" si="0"/>
        <v>29.048382352941172</v>
      </c>
      <c r="I12" s="33">
        <v>0.36882352941176472</v>
      </c>
      <c r="J12" s="33">
        <v>0.37397058823529405</v>
      </c>
      <c r="K12" s="33">
        <v>0.39867647058823519</v>
      </c>
      <c r="L12" s="33">
        <v>0</v>
      </c>
      <c r="M12" s="33">
        <v>0.12573529411764706</v>
      </c>
      <c r="N12" s="33">
        <v>12.082205882352941</v>
      </c>
      <c r="O12" s="33">
        <v>0</v>
      </c>
      <c r="P12" s="33">
        <v>0</v>
      </c>
      <c r="Q12" s="33">
        <v>0.61485294117647049</v>
      </c>
      <c r="R12" s="33">
        <v>9.9558823529411755E-2</v>
      </c>
      <c r="S12" s="33">
        <v>1.7967647058823526</v>
      </c>
      <c r="T12" s="33">
        <v>0</v>
      </c>
      <c r="U12" s="33">
        <v>0</v>
      </c>
      <c r="V12" s="33">
        <v>2.8272058823529411</v>
      </c>
      <c r="W12" s="33">
        <v>0.33882352941176469</v>
      </c>
      <c r="X12" s="33">
        <v>8.2397058823529417</v>
      </c>
      <c r="Y12" s="33">
        <v>0.1211764705882353</v>
      </c>
      <c r="Z12" s="33">
        <v>2.4852941176470585E-2</v>
      </c>
      <c r="AA12" s="33">
        <v>1.2701470588235295</v>
      </c>
      <c r="AB12" s="33">
        <v>0</v>
      </c>
      <c r="AC12" s="33">
        <v>1.7058823529411765E-2</v>
      </c>
      <c r="AD12" s="33">
        <v>4.7058823529411764E-2</v>
      </c>
      <c r="AE12" s="33">
        <v>0</v>
      </c>
      <c r="AF12" s="33">
        <v>0</v>
      </c>
      <c r="AG12" s="33">
        <v>0</v>
      </c>
      <c r="AH12" s="33">
        <v>0.30176470588235293</v>
      </c>
    </row>
    <row r="13" spans="1:34" x14ac:dyDescent="0.3">
      <c r="A13" s="32" t="s">
        <v>1037</v>
      </c>
      <c r="B13" s="20" t="s">
        <v>1038</v>
      </c>
      <c r="C13" s="20" t="s">
        <v>146</v>
      </c>
      <c r="D13" s="20" t="s">
        <v>149</v>
      </c>
      <c r="E13" s="20">
        <v>1</v>
      </c>
      <c r="F13" s="20" t="s">
        <v>1015</v>
      </c>
      <c r="G13" s="20" t="s">
        <v>1471</v>
      </c>
      <c r="H13" s="20">
        <f t="shared" si="0"/>
        <v>29.527205882352941</v>
      </c>
      <c r="I13" s="33">
        <v>0.39720588235294113</v>
      </c>
      <c r="J13" s="33">
        <v>0.41838235294117643</v>
      </c>
      <c r="K13" s="33">
        <v>0.51323529411764701</v>
      </c>
      <c r="L13" s="33">
        <v>0</v>
      </c>
      <c r="M13" s="33">
        <v>0.11191176470588234</v>
      </c>
      <c r="N13" s="33">
        <v>12.507499999999999</v>
      </c>
      <c r="O13" s="33">
        <v>0</v>
      </c>
      <c r="P13" s="33">
        <v>0</v>
      </c>
      <c r="Q13" s="33">
        <v>0.62014705882352938</v>
      </c>
      <c r="R13" s="33">
        <v>8.6029411764705882E-2</v>
      </c>
      <c r="S13" s="33">
        <v>1.8830882352941174</v>
      </c>
      <c r="T13" s="33">
        <v>0</v>
      </c>
      <c r="U13" s="33">
        <v>0</v>
      </c>
      <c r="V13" s="33">
        <v>3.1572058823529408</v>
      </c>
      <c r="W13" s="33">
        <v>0.42602941176470588</v>
      </c>
      <c r="X13" s="33">
        <v>7.2805882352941174</v>
      </c>
      <c r="Y13" s="33">
        <v>8.9117647058823538E-2</v>
      </c>
      <c r="Z13" s="33">
        <v>1.5882352941176469E-2</v>
      </c>
      <c r="AA13" s="33">
        <v>1.6597058823529411</v>
      </c>
      <c r="AB13" s="33">
        <v>0</v>
      </c>
      <c r="AC13" s="33">
        <v>8.5294117647058826E-3</v>
      </c>
      <c r="AD13" s="33">
        <v>3.3676470588235294E-2</v>
      </c>
      <c r="AE13" s="33">
        <v>0</v>
      </c>
      <c r="AF13" s="33">
        <v>0</v>
      </c>
      <c r="AG13" s="33">
        <v>0</v>
      </c>
      <c r="AH13" s="33">
        <v>0.31897058823529412</v>
      </c>
    </row>
    <row r="14" spans="1:34" x14ac:dyDescent="0.3">
      <c r="A14" s="32" t="s">
        <v>1039</v>
      </c>
      <c r="B14" s="20" t="s">
        <v>1040</v>
      </c>
      <c r="C14" s="20" t="s">
        <v>261</v>
      </c>
      <c r="D14" s="20" t="s">
        <v>268</v>
      </c>
      <c r="E14" s="20">
        <v>1</v>
      </c>
      <c r="F14" s="20" t="s">
        <v>1015</v>
      </c>
      <c r="G14" s="20" t="s">
        <v>1471</v>
      </c>
      <c r="H14" s="20">
        <f t="shared" si="0"/>
        <v>37.166470588235285</v>
      </c>
      <c r="I14" s="33">
        <v>0.32073529411764701</v>
      </c>
      <c r="J14" s="33">
        <v>0.31720588235294112</v>
      </c>
      <c r="K14" s="33">
        <v>0.29691176470588232</v>
      </c>
      <c r="L14" s="33">
        <v>0</v>
      </c>
      <c r="M14" s="33">
        <v>9.2647058823529402E-2</v>
      </c>
      <c r="N14" s="33">
        <v>15.120735294117647</v>
      </c>
      <c r="O14" s="33">
        <v>0</v>
      </c>
      <c r="P14" s="33">
        <v>0</v>
      </c>
      <c r="Q14" s="33">
        <v>0.75764705882352945</v>
      </c>
      <c r="R14" s="33">
        <v>0.1163235294117647</v>
      </c>
      <c r="S14" s="33">
        <v>3.8486764705882348</v>
      </c>
      <c r="T14" s="33">
        <v>0</v>
      </c>
      <c r="U14" s="33">
        <v>0</v>
      </c>
      <c r="V14" s="33">
        <v>4.5479411764705873</v>
      </c>
      <c r="W14" s="33">
        <v>0.70367647058823524</v>
      </c>
      <c r="X14" s="33">
        <v>7.4727941176470578</v>
      </c>
      <c r="Y14" s="33">
        <v>0.11808823529411763</v>
      </c>
      <c r="Z14" s="33">
        <v>7.617647058823529E-2</v>
      </c>
      <c r="AA14" s="33">
        <v>2.4958823529411762</v>
      </c>
      <c r="AB14" s="33">
        <v>0</v>
      </c>
      <c r="AC14" s="33">
        <v>4.7499999999999987E-2</v>
      </c>
      <c r="AD14" s="33">
        <v>0.11970588235294116</v>
      </c>
      <c r="AE14" s="33">
        <v>0</v>
      </c>
      <c r="AF14" s="33">
        <v>1.4705882352941178E-4</v>
      </c>
      <c r="AG14" s="33">
        <v>0</v>
      </c>
      <c r="AH14" s="33">
        <v>0.71367647058823525</v>
      </c>
    </row>
    <row r="15" spans="1:34" x14ac:dyDescent="0.3">
      <c r="A15" s="32" t="s">
        <v>1041</v>
      </c>
      <c r="B15" s="20" t="s">
        <v>1042</v>
      </c>
      <c r="C15" s="20" t="s">
        <v>261</v>
      </c>
      <c r="D15" s="20" t="s">
        <v>272</v>
      </c>
      <c r="E15" s="20">
        <v>1</v>
      </c>
      <c r="F15" s="20" t="s">
        <v>1015</v>
      </c>
      <c r="G15" s="20" t="s">
        <v>1471</v>
      </c>
      <c r="H15" s="20">
        <f t="shared" si="0"/>
        <v>38.433970588235297</v>
      </c>
      <c r="I15" s="33">
        <v>0.27500000000000002</v>
      </c>
      <c r="J15" s="33">
        <v>0.27382352941176469</v>
      </c>
      <c r="K15" s="33">
        <v>0.2711764705882353</v>
      </c>
      <c r="L15" s="33">
        <v>0</v>
      </c>
      <c r="M15" s="33">
        <v>9.1176470588235289E-2</v>
      </c>
      <c r="N15" s="33">
        <v>14.363529411764706</v>
      </c>
      <c r="O15" s="33">
        <v>0</v>
      </c>
      <c r="P15" s="33">
        <v>0</v>
      </c>
      <c r="Q15" s="33">
        <v>0.6873529411764705</v>
      </c>
      <c r="R15" s="33">
        <v>0.11691176470588234</v>
      </c>
      <c r="S15" s="33">
        <v>4.2785294117647057</v>
      </c>
      <c r="T15" s="33">
        <v>0</v>
      </c>
      <c r="U15" s="33">
        <v>0</v>
      </c>
      <c r="V15" s="33">
        <v>4.6049999999999986</v>
      </c>
      <c r="W15" s="33">
        <v>0.71485294117647047</v>
      </c>
      <c r="X15" s="33">
        <v>9.2783823529411755</v>
      </c>
      <c r="Y15" s="33">
        <v>9.4999999999999973E-2</v>
      </c>
      <c r="Z15" s="33">
        <v>2.7941176470588233E-2</v>
      </c>
      <c r="AA15" s="33">
        <v>2.6457352941176464</v>
      </c>
      <c r="AB15" s="33">
        <v>0</v>
      </c>
      <c r="AC15" s="33">
        <v>1.2941176470588234E-2</v>
      </c>
      <c r="AD15" s="33">
        <v>7.9558823529411751E-2</v>
      </c>
      <c r="AE15" s="33">
        <v>0</v>
      </c>
      <c r="AF15" s="33">
        <v>0</v>
      </c>
      <c r="AG15" s="33">
        <v>0</v>
      </c>
      <c r="AH15" s="33">
        <v>0.61705882352941166</v>
      </c>
    </row>
    <row r="16" spans="1:34" x14ac:dyDescent="0.3">
      <c r="A16" s="32" t="s">
        <v>1043</v>
      </c>
      <c r="B16" s="20" t="s">
        <v>1044</v>
      </c>
      <c r="C16" s="20" t="s">
        <v>20</v>
      </c>
      <c r="D16" s="20" t="s">
        <v>37</v>
      </c>
      <c r="E16" s="20">
        <v>2</v>
      </c>
      <c r="F16" s="20" t="s">
        <v>1015</v>
      </c>
      <c r="G16" s="20" t="s">
        <v>1471</v>
      </c>
      <c r="H16" s="20">
        <f t="shared" si="0"/>
        <v>27.520441176470584</v>
      </c>
      <c r="I16" s="33">
        <v>0.26691176470588229</v>
      </c>
      <c r="J16" s="33">
        <v>0.24705882352941172</v>
      </c>
      <c r="K16" s="33">
        <v>0.2051470588235294</v>
      </c>
      <c r="L16" s="33">
        <v>0</v>
      </c>
      <c r="M16" s="33">
        <v>7.5735294117647053E-2</v>
      </c>
      <c r="N16" s="33">
        <v>11.270441176470587</v>
      </c>
      <c r="O16" s="33">
        <v>2.9705882352941176E-2</v>
      </c>
      <c r="P16" s="33">
        <v>0</v>
      </c>
      <c r="Q16" s="33">
        <v>0.75029411764705889</v>
      </c>
      <c r="R16" s="33">
        <v>6.6323529411764698E-2</v>
      </c>
      <c r="S16" s="33">
        <v>2.2477941176470591</v>
      </c>
      <c r="T16" s="33">
        <v>0</v>
      </c>
      <c r="U16" s="33">
        <v>0</v>
      </c>
      <c r="V16" s="33">
        <v>3.2423529411764704</v>
      </c>
      <c r="W16" s="33">
        <v>0.45470588235294118</v>
      </c>
      <c r="X16" s="33">
        <v>6.4123529411764704</v>
      </c>
      <c r="Y16" s="33">
        <v>8.294117647058824E-2</v>
      </c>
      <c r="Z16" s="33">
        <v>2.9117647058823529E-2</v>
      </c>
      <c r="AA16" s="33">
        <v>1.6774999999999998</v>
      </c>
      <c r="AB16" s="33">
        <v>0</v>
      </c>
      <c r="AC16" s="33">
        <v>1.1176470588235295E-2</v>
      </c>
      <c r="AD16" s="33">
        <v>4.1176470588235287E-2</v>
      </c>
      <c r="AE16" s="33">
        <v>0</v>
      </c>
      <c r="AF16" s="33">
        <v>0</v>
      </c>
      <c r="AG16" s="33">
        <v>0</v>
      </c>
      <c r="AH16" s="33">
        <v>0.40970588235294114</v>
      </c>
    </row>
    <row r="17" spans="1:34" x14ac:dyDescent="0.3">
      <c r="A17" s="32" t="s">
        <v>1045</v>
      </c>
      <c r="B17" s="20" t="s">
        <v>1046</v>
      </c>
      <c r="C17" s="20" t="s">
        <v>20</v>
      </c>
      <c r="D17" s="20" t="s">
        <v>39</v>
      </c>
      <c r="E17" s="20">
        <v>2</v>
      </c>
      <c r="F17" s="20" t="s">
        <v>1015</v>
      </c>
      <c r="G17" s="20" t="s">
        <v>1471</v>
      </c>
      <c r="H17" s="20">
        <f t="shared" si="0"/>
        <v>35.6175</v>
      </c>
      <c r="I17" s="33">
        <v>0.47529411764705881</v>
      </c>
      <c r="J17" s="33">
        <v>0.43764705882352939</v>
      </c>
      <c r="K17" s="33">
        <v>0.46867647058823525</v>
      </c>
      <c r="L17" s="33">
        <v>0</v>
      </c>
      <c r="M17" s="33">
        <v>0.12720588235294117</v>
      </c>
      <c r="N17" s="33">
        <v>16.393382352941174</v>
      </c>
      <c r="O17" s="33">
        <v>0</v>
      </c>
      <c r="P17" s="33">
        <v>0</v>
      </c>
      <c r="Q17" s="33">
        <v>0.82941176470588229</v>
      </c>
      <c r="R17" s="33">
        <v>8.5441176470588243E-2</v>
      </c>
      <c r="S17" s="33">
        <v>2.3139705882352937</v>
      </c>
      <c r="T17" s="33">
        <v>0</v>
      </c>
      <c r="U17" s="33">
        <v>0</v>
      </c>
      <c r="V17" s="33">
        <v>3.3088235294117645</v>
      </c>
      <c r="W17" s="33">
        <v>0.35661764705882348</v>
      </c>
      <c r="X17" s="33">
        <v>7.8908823529411753</v>
      </c>
      <c r="Y17" s="33">
        <v>0.11352941176470588</v>
      </c>
      <c r="Z17" s="33">
        <v>2.2499999999999999E-2</v>
      </c>
      <c r="AA17" s="33">
        <v>2.2301470588235293</v>
      </c>
      <c r="AB17" s="33">
        <v>0</v>
      </c>
      <c r="AC17" s="33">
        <v>1.1764705882352941E-2</v>
      </c>
      <c r="AD17" s="33">
        <v>6.1617647058823527E-2</v>
      </c>
      <c r="AE17" s="33">
        <v>0</v>
      </c>
      <c r="AF17" s="33">
        <v>0</v>
      </c>
      <c r="AG17" s="33">
        <v>0</v>
      </c>
      <c r="AH17" s="33">
        <v>0.4905882352941176</v>
      </c>
    </row>
    <row r="18" spans="1:34" x14ac:dyDescent="0.3">
      <c r="A18" s="32" t="s">
        <v>1047</v>
      </c>
      <c r="B18" s="20" t="s">
        <v>1048</v>
      </c>
      <c r="C18" s="20" t="s">
        <v>20</v>
      </c>
      <c r="D18" s="20" t="s">
        <v>41</v>
      </c>
      <c r="E18" s="20">
        <v>2</v>
      </c>
      <c r="F18" s="20" t="s">
        <v>1015</v>
      </c>
      <c r="G18" s="20" t="s">
        <v>1471</v>
      </c>
      <c r="H18" s="20">
        <f t="shared" si="0"/>
        <v>26.053235294117648</v>
      </c>
      <c r="I18" s="33">
        <v>0.31985294117647056</v>
      </c>
      <c r="J18" s="33">
        <v>0.29161764705882354</v>
      </c>
      <c r="K18" s="33">
        <v>0.2414705882352941</v>
      </c>
      <c r="L18" s="33">
        <v>0</v>
      </c>
      <c r="M18" s="33">
        <v>7.3382352941176468E-2</v>
      </c>
      <c r="N18" s="33">
        <v>10.852647058823528</v>
      </c>
      <c r="O18" s="33">
        <v>0</v>
      </c>
      <c r="P18" s="33">
        <v>0</v>
      </c>
      <c r="Q18" s="33">
        <v>0.58588235294117641</v>
      </c>
      <c r="R18" s="33">
        <v>7.1911764705882342E-2</v>
      </c>
      <c r="S18" s="33">
        <v>2.3020588235294119</v>
      </c>
      <c r="T18" s="33">
        <v>0</v>
      </c>
      <c r="U18" s="33">
        <v>0</v>
      </c>
      <c r="V18" s="33">
        <v>2.686911764705882</v>
      </c>
      <c r="W18" s="33">
        <v>0.3892647058823529</v>
      </c>
      <c r="X18" s="33">
        <v>5.9041176470588228</v>
      </c>
      <c r="Y18" s="33">
        <v>0.10205882352941176</v>
      </c>
      <c r="Z18" s="33">
        <v>3.7352941176470589E-2</v>
      </c>
      <c r="AA18" s="33">
        <v>1.7176470588235293</v>
      </c>
      <c r="AB18" s="33">
        <v>0</v>
      </c>
      <c r="AC18" s="33">
        <v>1.8529411764705881E-2</v>
      </c>
      <c r="AD18" s="33">
        <v>6.8088235294117644E-2</v>
      </c>
      <c r="AE18" s="33">
        <v>0</v>
      </c>
      <c r="AF18" s="33">
        <v>0</v>
      </c>
      <c r="AG18" s="33">
        <v>0</v>
      </c>
      <c r="AH18" s="33">
        <v>0.39044117647058818</v>
      </c>
    </row>
    <row r="19" spans="1:34" x14ac:dyDescent="0.3">
      <c r="A19" s="32" t="s">
        <v>1049</v>
      </c>
      <c r="B19" s="20" t="s">
        <v>1050</v>
      </c>
      <c r="C19" s="20" t="s">
        <v>20</v>
      </c>
      <c r="D19" s="20" t="s">
        <v>33</v>
      </c>
      <c r="E19" s="20">
        <v>2</v>
      </c>
      <c r="F19" s="20" t="s">
        <v>1015</v>
      </c>
      <c r="G19" s="20" t="s">
        <v>1471</v>
      </c>
      <c r="H19" s="20">
        <f t="shared" si="0"/>
        <v>30.346176470588237</v>
      </c>
      <c r="I19" s="33">
        <v>0.62617647058823533</v>
      </c>
      <c r="J19" s="33">
        <v>0.62823529411764711</v>
      </c>
      <c r="K19" s="33">
        <v>0.61514705882352938</v>
      </c>
      <c r="L19" s="33">
        <v>0</v>
      </c>
      <c r="M19" s="33">
        <v>0.11191176470588234</v>
      </c>
      <c r="N19" s="33">
        <v>13.772499999999999</v>
      </c>
      <c r="O19" s="33">
        <v>0</v>
      </c>
      <c r="P19" s="33">
        <v>0</v>
      </c>
      <c r="Q19" s="33">
        <v>1.0801470588235293</v>
      </c>
      <c r="R19" s="33">
        <v>6.7794117647058824E-2</v>
      </c>
      <c r="S19" s="33">
        <v>1.5498529411764705</v>
      </c>
      <c r="T19" s="33">
        <v>0</v>
      </c>
      <c r="U19" s="33">
        <v>0</v>
      </c>
      <c r="V19" s="33">
        <v>2.8125</v>
      </c>
      <c r="W19" s="33">
        <v>0.4549999999999999</v>
      </c>
      <c r="X19" s="33">
        <v>6.7069117647058816</v>
      </c>
      <c r="Y19" s="33">
        <v>8.5735294117647048E-2</v>
      </c>
      <c r="Z19" s="33">
        <v>1.8529411764705881E-2</v>
      </c>
      <c r="AA19" s="33">
        <v>1.4775</v>
      </c>
      <c r="AB19" s="33">
        <v>0</v>
      </c>
      <c r="AC19" s="33">
        <v>1.1764705882352941E-2</v>
      </c>
      <c r="AD19" s="33">
        <v>6.6029411764705878E-2</v>
      </c>
      <c r="AE19" s="33">
        <v>0</v>
      </c>
      <c r="AF19" s="33">
        <v>0</v>
      </c>
      <c r="AG19" s="33">
        <v>0</v>
      </c>
      <c r="AH19" s="33">
        <v>0.26044117647058823</v>
      </c>
    </row>
    <row r="20" spans="1:34" x14ac:dyDescent="0.3">
      <c r="A20" s="32" t="s">
        <v>1051</v>
      </c>
      <c r="B20" s="20" t="s">
        <v>1052</v>
      </c>
      <c r="C20" s="20" t="s">
        <v>20</v>
      </c>
      <c r="D20" s="20" t="s">
        <v>35</v>
      </c>
      <c r="E20" s="20">
        <v>2</v>
      </c>
      <c r="F20" s="20" t="s">
        <v>1015</v>
      </c>
      <c r="G20" s="20" t="s">
        <v>1471</v>
      </c>
      <c r="H20" s="20">
        <f t="shared" si="0"/>
        <v>26.886617647058824</v>
      </c>
      <c r="I20" s="33">
        <v>0.61867647058823527</v>
      </c>
      <c r="J20" s="33">
        <v>0.63500000000000001</v>
      </c>
      <c r="K20" s="33">
        <v>0.55264705882352938</v>
      </c>
      <c r="L20" s="33">
        <v>0</v>
      </c>
      <c r="M20" s="33">
        <v>9.9999999999999978E-2</v>
      </c>
      <c r="N20" s="33">
        <v>11.815882352941177</v>
      </c>
      <c r="O20" s="33">
        <v>5.8382352941176455E-2</v>
      </c>
      <c r="P20" s="33">
        <v>9.6911764705882336E-2</v>
      </c>
      <c r="Q20" s="33">
        <v>0.67279411764705876</v>
      </c>
      <c r="R20" s="33">
        <v>6.9411764705882353E-2</v>
      </c>
      <c r="S20" s="33">
        <v>1.9470588235294115</v>
      </c>
      <c r="T20" s="33">
        <v>0</v>
      </c>
      <c r="U20" s="33">
        <v>0</v>
      </c>
      <c r="V20" s="33">
        <v>2.2805882352941174</v>
      </c>
      <c r="W20" s="33">
        <v>0.32985294117647057</v>
      </c>
      <c r="X20" s="33">
        <v>5.5492647058823525</v>
      </c>
      <c r="Y20" s="33">
        <v>6.7647058823529407E-2</v>
      </c>
      <c r="Z20" s="33">
        <v>2.2499999999999999E-2</v>
      </c>
      <c r="AA20" s="33">
        <v>1.6998529411764705</v>
      </c>
      <c r="AB20" s="33">
        <v>0</v>
      </c>
      <c r="AC20" s="33">
        <v>7.0588235294117641E-3</v>
      </c>
      <c r="AD20" s="33">
        <v>3.8529411764705875E-2</v>
      </c>
      <c r="AE20" s="33">
        <v>0</v>
      </c>
      <c r="AF20" s="33">
        <v>0</v>
      </c>
      <c r="AG20" s="33">
        <v>0</v>
      </c>
      <c r="AH20" s="33">
        <v>0.32455882352941173</v>
      </c>
    </row>
    <row r="21" spans="1:34" x14ac:dyDescent="0.3">
      <c r="A21" s="32" t="s">
        <v>1053</v>
      </c>
      <c r="B21" s="20" t="s">
        <v>1054</v>
      </c>
      <c r="C21" s="20" t="s">
        <v>146</v>
      </c>
      <c r="D21" s="20" t="s">
        <v>151</v>
      </c>
      <c r="E21" s="20">
        <v>2</v>
      </c>
      <c r="F21" s="20" t="s">
        <v>1032</v>
      </c>
      <c r="G21" s="20" t="s">
        <v>1471</v>
      </c>
      <c r="H21" s="20">
        <f t="shared" si="0"/>
        <v>35.206470588235284</v>
      </c>
      <c r="I21" s="33">
        <v>0.2879411764705882</v>
      </c>
      <c r="J21" s="33">
        <v>0.2920588235294117</v>
      </c>
      <c r="K21" s="33">
        <v>0.25352941176470584</v>
      </c>
      <c r="L21" s="33">
        <v>0</v>
      </c>
      <c r="M21" s="33">
        <v>0.10691176470588235</v>
      </c>
      <c r="N21" s="33">
        <v>13.295882352941176</v>
      </c>
      <c r="O21" s="33">
        <v>5.9264705882352935E-2</v>
      </c>
      <c r="P21" s="33">
        <v>9.4558823529411751E-2</v>
      </c>
      <c r="Q21" s="33">
        <v>0.38882352941176473</v>
      </c>
      <c r="R21" s="33">
        <v>9.7058823529411753E-2</v>
      </c>
      <c r="S21" s="33">
        <v>4.2844117647058813</v>
      </c>
      <c r="T21" s="33">
        <v>0</v>
      </c>
      <c r="U21" s="33">
        <v>0</v>
      </c>
      <c r="V21" s="33">
        <v>3.6767647058823529</v>
      </c>
      <c r="W21" s="33">
        <v>0.34941176470588231</v>
      </c>
      <c r="X21" s="33">
        <v>7.8244117647058804</v>
      </c>
      <c r="Y21" s="33">
        <v>9.5441176470588224E-2</v>
      </c>
      <c r="Z21" s="33">
        <v>4.8823529411764703E-2</v>
      </c>
      <c r="AA21" s="33">
        <v>2.9435294117647057</v>
      </c>
      <c r="AB21" s="33">
        <v>0</v>
      </c>
      <c r="AC21" s="33">
        <v>3.6911764705882352E-2</v>
      </c>
      <c r="AD21" s="33">
        <v>3.1617647058823528E-2</v>
      </c>
      <c r="AE21" s="33">
        <v>0</v>
      </c>
      <c r="AF21" s="33">
        <v>0.11073529411764706</v>
      </c>
      <c r="AG21" s="33">
        <v>0</v>
      </c>
      <c r="AH21" s="33">
        <v>0.92838235294117655</v>
      </c>
    </row>
    <row r="22" spans="1:34" x14ac:dyDescent="0.3">
      <c r="A22" s="32" t="s">
        <v>1055</v>
      </c>
      <c r="B22" s="20" t="s">
        <v>1056</v>
      </c>
      <c r="C22" s="20" t="s">
        <v>146</v>
      </c>
      <c r="D22" s="20" t="s">
        <v>153</v>
      </c>
      <c r="E22" s="20">
        <v>2</v>
      </c>
      <c r="F22" s="20" t="s">
        <v>1057</v>
      </c>
      <c r="G22" s="20" t="s">
        <v>1471</v>
      </c>
      <c r="H22" s="20">
        <f t="shared" si="0"/>
        <v>24.056029411764705</v>
      </c>
      <c r="I22" s="33">
        <v>0.3369117647058823</v>
      </c>
      <c r="J22" s="33">
        <v>0.32544117647058823</v>
      </c>
      <c r="K22" s="33">
        <v>0.25779411764705878</v>
      </c>
      <c r="L22" s="33">
        <v>0</v>
      </c>
      <c r="M22" s="33">
        <v>8.2058823529411754E-2</v>
      </c>
      <c r="N22" s="33">
        <v>8.5311764705882336</v>
      </c>
      <c r="O22" s="33">
        <v>0</v>
      </c>
      <c r="P22" s="33">
        <v>4.4852941176470588E-2</v>
      </c>
      <c r="Q22" s="33">
        <v>0.315</v>
      </c>
      <c r="R22" s="33">
        <v>7.8970588235294112E-2</v>
      </c>
      <c r="S22" s="33">
        <v>3.8717647058823528</v>
      </c>
      <c r="T22" s="33">
        <v>0</v>
      </c>
      <c r="U22" s="33">
        <v>0</v>
      </c>
      <c r="V22" s="33">
        <v>2.7574999999999998</v>
      </c>
      <c r="W22" s="33">
        <v>0.40485294117647058</v>
      </c>
      <c r="X22" s="33">
        <v>3.7260294117647055</v>
      </c>
      <c r="Y22" s="33">
        <v>5.2941176470588235E-2</v>
      </c>
      <c r="Z22" s="33">
        <v>4.4999999999999998E-2</v>
      </c>
      <c r="AA22" s="33">
        <v>2.5457352941176472</v>
      </c>
      <c r="AB22" s="33">
        <v>0</v>
      </c>
      <c r="AC22" s="33">
        <v>4.6764705882352944E-2</v>
      </c>
      <c r="AD22" s="33">
        <v>2.1470588235294116E-2</v>
      </c>
      <c r="AE22" s="33">
        <v>0</v>
      </c>
      <c r="AF22" s="33">
        <v>0.11441176470588234</v>
      </c>
      <c r="AG22" s="33">
        <v>0</v>
      </c>
      <c r="AH22" s="33">
        <v>0.49735294117647055</v>
      </c>
    </row>
    <row r="23" spans="1:34" x14ac:dyDescent="0.3">
      <c r="A23" s="32" t="s">
        <v>1058</v>
      </c>
      <c r="B23" s="20" t="s">
        <v>1059</v>
      </c>
      <c r="C23" s="20" t="s">
        <v>146</v>
      </c>
      <c r="D23" s="20" t="s">
        <v>155</v>
      </c>
      <c r="E23" s="20">
        <v>2</v>
      </c>
      <c r="F23" s="20" t="s">
        <v>1015</v>
      </c>
      <c r="G23" s="20" t="s">
        <v>1471</v>
      </c>
      <c r="H23" s="20">
        <f t="shared" si="0"/>
        <v>35.739411764705885</v>
      </c>
      <c r="I23" s="33">
        <v>0.52897058823529408</v>
      </c>
      <c r="J23" s="33">
        <v>0.54338235294117643</v>
      </c>
      <c r="K23" s="33">
        <v>0.43132352941176461</v>
      </c>
      <c r="L23" s="33">
        <v>0</v>
      </c>
      <c r="M23" s="33">
        <v>0.15</v>
      </c>
      <c r="N23" s="33">
        <v>15.596911764705881</v>
      </c>
      <c r="O23" s="33">
        <v>0</v>
      </c>
      <c r="P23" s="33">
        <v>0</v>
      </c>
      <c r="Q23" s="33">
        <v>0.68161764705882355</v>
      </c>
      <c r="R23" s="33">
        <v>0.10720588235294115</v>
      </c>
      <c r="S23" s="33">
        <v>2.1732352941176467</v>
      </c>
      <c r="T23" s="33">
        <v>0</v>
      </c>
      <c r="U23" s="33">
        <v>0</v>
      </c>
      <c r="V23" s="33">
        <v>3.6899999999999995</v>
      </c>
      <c r="W23" s="33">
        <v>0.51823529411764702</v>
      </c>
      <c r="X23" s="33">
        <v>8.6091176470588238</v>
      </c>
      <c r="Y23" s="33">
        <v>9.0882352941176456E-2</v>
      </c>
      <c r="Z23" s="33">
        <v>1.4705882352941176E-2</v>
      </c>
      <c r="AA23" s="33">
        <v>2.1777941176470588</v>
      </c>
      <c r="AB23" s="33">
        <v>0</v>
      </c>
      <c r="AC23" s="33">
        <v>1.0588235294117647E-2</v>
      </c>
      <c r="AD23" s="33">
        <v>4.176470588235294E-2</v>
      </c>
      <c r="AE23" s="33">
        <v>0</v>
      </c>
      <c r="AF23" s="33">
        <v>0</v>
      </c>
      <c r="AG23" s="33">
        <v>0</v>
      </c>
      <c r="AH23" s="33">
        <v>0.37367647058823528</v>
      </c>
    </row>
    <row r="24" spans="1:34" x14ac:dyDescent="0.3">
      <c r="A24" s="40" t="s">
        <v>1474</v>
      </c>
      <c r="B24" s="20" t="s">
        <v>1060</v>
      </c>
      <c r="C24" s="20" t="s">
        <v>146</v>
      </c>
      <c r="D24" s="20" t="s">
        <v>157</v>
      </c>
      <c r="E24" s="20">
        <v>2</v>
      </c>
      <c r="F24" s="20" t="s">
        <v>1015</v>
      </c>
      <c r="G24" s="20" t="s">
        <v>1471</v>
      </c>
      <c r="H24" s="20">
        <f t="shared" si="0"/>
        <v>32.377941176470586</v>
      </c>
      <c r="I24" s="33">
        <v>0.41926470588235293</v>
      </c>
      <c r="J24" s="33">
        <v>0.37088235294117644</v>
      </c>
      <c r="K24" s="33">
        <v>0.49558823529411761</v>
      </c>
      <c r="L24" s="33">
        <v>0</v>
      </c>
      <c r="M24" s="33">
        <v>0.24852941176470583</v>
      </c>
      <c r="N24" s="33">
        <v>13.500735294117646</v>
      </c>
      <c r="O24" s="33">
        <v>0</v>
      </c>
      <c r="P24" s="33">
        <v>0</v>
      </c>
      <c r="Q24" s="33">
        <v>0.6451470588235293</v>
      </c>
      <c r="R24" s="33">
        <v>0.1588235294117647</v>
      </c>
      <c r="S24" s="33">
        <v>2.5322058823529408</v>
      </c>
      <c r="T24" s="33">
        <v>0</v>
      </c>
      <c r="U24" s="33">
        <v>0</v>
      </c>
      <c r="V24" s="33">
        <v>3.09</v>
      </c>
      <c r="W24" s="33">
        <v>0.35691176470588232</v>
      </c>
      <c r="X24" s="33">
        <v>8.3922058823529415</v>
      </c>
      <c r="Y24" s="33">
        <v>0.13779411764705879</v>
      </c>
      <c r="Z24" s="33">
        <v>3.8823529411764701E-2</v>
      </c>
      <c r="AA24" s="33">
        <v>1.4960294117647057</v>
      </c>
      <c r="AB24" s="33">
        <v>0</v>
      </c>
      <c r="AC24" s="33">
        <v>2.3823529411764705E-2</v>
      </c>
      <c r="AD24" s="33">
        <v>6.3823529411764696E-2</v>
      </c>
      <c r="AE24" s="33">
        <v>0</v>
      </c>
      <c r="AF24" s="33">
        <v>0</v>
      </c>
      <c r="AG24" s="33">
        <v>0</v>
      </c>
      <c r="AH24" s="33">
        <v>0.40735294117647058</v>
      </c>
    </row>
    <row r="25" spans="1:34" x14ac:dyDescent="0.3">
      <c r="A25" s="32" t="s">
        <v>1061</v>
      </c>
      <c r="B25" s="20" t="s">
        <v>1062</v>
      </c>
      <c r="C25" s="20" t="s">
        <v>146</v>
      </c>
      <c r="D25" s="20" t="s">
        <v>159</v>
      </c>
      <c r="E25" s="20">
        <v>2</v>
      </c>
      <c r="F25" s="20" t="s">
        <v>1015</v>
      </c>
      <c r="G25" s="20" t="s">
        <v>1471</v>
      </c>
      <c r="H25" s="20">
        <f t="shared" si="0"/>
        <v>39.410147058823526</v>
      </c>
      <c r="I25" s="33">
        <v>0.4255882352941176</v>
      </c>
      <c r="J25" s="33">
        <v>0.55279411764705877</v>
      </c>
      <c r="K25" s="33">
        <v>0.64823529411764702</v>
      </c>
      <c r="L25" s="33">
        <v>0</v>
      </c>
      <c r="M25" s="33">
        <v>0.2014705882352941</v>
      </c>
      <c r="N25" s="33">
        <v>17.574117647058824</v>
      </c>
      <c r="O25" s="33">
        <v>5.9558823529411754E-2</v>
      </c>
      <c r="P25" s="33">
        <v>6.4411764705882349E-2</v>
      </c>
      <c r="Q25" s="33">
        <v>0.72338235294117637</v>
      </c>
      <c r="R25" s="33">
        <v>0.13147058823529412</v>
      </c>
      <c r="S25" s="33">
        <v>2.9101470588235294</v>
      </c>
      <c r="T25" s="33">
        <v>0</v>
      </c>
      <c r="U25" s="33">
        <v>0</v>
      </c>
      <c r="V25" s="33">
        <v>3.3939705882352937</v>
      </c>
      <c r="W25" s="33">
        <v>0.49926470588235294</v>
      </c>
      <c r="X25" s="33">
        <v>9.3160294117647044</v>
      </c>
      <c r="Y25" s="33">
        <v>0.10882352941176469</v>
      </c>
      <c r="Z25" s="33">
        <v>3.5000000000000003E-2</v>
      </c>
      <c r="AA25" s="33">
        <v>2.2726470588235297</v>
      </c>
      <c r="AB25" s="33">
        <v>0</v>
      </c>
      <c r="AC25" s="33">
        <v>2.6470588235294117E-2</v>
      </c>
      <c r="AD25" s="33">
        <v>3.1617647058823528E-2</v>
      </c>
      <c r="AE25" s="33">
        <v>0</v>
      </c>
      <c r="AF25" s="33">
        <v>0</v>
      </c>
      <c r="AG25" s="33">
        <v>0</v>
      </c>
      <c r="AH25" s="33">
        <v>0.43514705882352944</v>
      </c>
    </row>
    <row r="26" spans="1:34" x14ac:dyDescent="0.3">
      <c r="A26" s="32" t="s">
        <v>1063</v>
      </c>
      <c r="B26" s="20" t="s">
        <v>1064</v>
      </c>
      <c r="C26" s="20" t="s">
        <v>261</v>
      </c>
      <c r="D26" s="20" t="s">
        <v>280</v>
      </c>
      <c r="E26" s="20">
        <v>2</v>
      </c>
      <c r="F26" s="20" t="s">
        <v>1015</v>
      </c>
      <c r="G26" s="20" t="s">
        <v>1471</v>
      </c>
      <c r="H26" s="20">
        <f t="shared" si="0"/>
        <v>53.959411764705884</v>
      </c>
      <c r="I26" s="33">
        <v>0.57235294117647062</v>
      </c>
      <c r="J26" s="33">
        <v>1.4344117647058825</v>
      </c>
      <c r="K26" s="33">
        <v>0.54676470588235282</v>
      </c>
      <c r="L26" s="33">
        <v>0</v>
      </c>
      <c r="M26" s="33">
        <v>0.20073529411764707</v>
      </c>
      <c r="N26" s="33">
        <v>24.020294117647055</v>
      </c>
      <c r="O26" s="33">
        <v>9.7794117647058809E-2</v>
      </c>
      <c r="P26" s="33">
        <v>0.12191176470588234</v>
      </c>
      <c r="Q26" s="33">
        <v>0.88558823529411757</v>
      </c>
      <c r="R26" s="33">
        <v>0.14794117647058821</v>
      </c>
      <c r="S26" s="33">
        <v>4.0601470588235289</v>
      </c>
      <c r="T26" s="33">
        <v>0</v>
      </c>
      <c r="U26" s="33">
        <v>0</v>
      </c>
      <c r="V26" s="33">
        <v>4.233088235294117</v>
      </c>
      <c r="W26" s="33">
        <v>0.61</v>
      </c>
      <c r="X26" s="33">
        <v>12.544411764705881</v>
      </c>
      <c r="Y26" s="33">
        <v>0.11102941176470588</v>
      </c>
      <c r="Z26" s="33">
        <v>2.3088235294117646E-2</v>
      </c>
      <c r="AA26" s="33">
        <v>3.4651470588235296</v>
      </c>
      <c r="AB26" s="33">
        <v>0</v>
      </c>
      <c r="AC26" s="33">
        <v>2.838235294117647E-2</v>
      </c>
      <c r="AD26" s="33">
        <v>7.51470588235294E-2</v>
      </c>
      <c r="AE26" s="33">
        <v>0</v>
      </c>
      <c r="AF26" s="33">
        <v>0</v>
      </c>
      <c r="AG26" s="33">
        <v>0</v>
      </c>
      <c r="AH26" s="33">
        <v>0.78117647058823525</v>
      </c>
    </row>
    <row r="27" spans="1:34" x14ac:dyDescent="0.3">
      <c r="A27" s="32" t="s">
        <v>1065</v>
      </c>
      <c r="B27" s="20" t="s">
        <v>1066</v>
      </c>
      <c r="C27" s="20" t="s">
        <v>261</v>
      </c>
      <c r="D27" s="20" t="s">
        <v>282</v>
      </c>
      <c r="E27" s="20">
        <v>2</v>
      </c>
      <c r="F27" s="20" t="s">
        <v>1015</v>
      </c>
      <c r="G27" s="20" t="s">
        <v>1471</v>
      </c>
      <c r="H27" s="20">
        <f t="shared" si="0"/>
        <v>40.501911764705881</v>
      </c>
      <c r="I27" s="33">
        <v>0.25176470588235295</v>
      </c>
      <c r="J27" s="33">
        <v>0.24455882352941175</v>
      </c>
      <c r="K27" s="33">
        <v>0.2786764705882353</v>
      </c>
      <c r="L27" s="33">
        <v>0</v>
      </c>
      <c r="M27" s="33">
        <v>9.9117647058823533E-2</v>
      </c>
      <c r="N27" s="33">
        <v>15.578088235294116</v>
      </c>
      <c r="O27" s="33">
        <v>2.2352941176470589E-2</v>
      </c>
      <c r="P27" s="33">
        <v>3.1911764705882348E-2</v>
      </c>
      <c r="Q27" s="33">
        <v>0.684264705882353</v>
      </c>
      <c r="R27" s="33">
        <v>0.11588235294117646</v>
      </c>
      <c r="S27" s="33">
        <v>3.9548529411764703</v>
      </c>
      <c r="T27" s="33">
        <v>0</v>
      </c>
      <c r="U27" s="33">
        <v>0</v>
      </c>
      <c r="V27" s="33">
        <v>4.2610294117647056</v>
      </c>
      <c r="W27" s="33">
        <v>0.60529411764705876</v>
      </c>
      <c r="X27" s="33">
        <v>9.9872058823529404</v>
      </c>
      <c r="Y27" s="33">
        <v>0.1266176470588235</v>
      </c>
      <c r="Z27" s="33">
        <v>2.8676470588235289E-2</v>
      </c>
      <c r="AA27" s="33">
        <v>3.3032352941176466</v>
      </c>
      <c r="AB27" s="33">
        <v>0</v>
      </c>
      <c r="AC27" s="33">
        <v>1.5441176470588232E-2</v>
      </c>
      <c r="AD27" s="33">
        <v>6.8382352941176464E-2</v>
      </c>
      <c r="AE27" s="33">
        <v>0</v>
      </c>
      <c r="AF27" s="33">
        <v>0</v>
      </c>
      <c r="AG27" s="33">
        <v>0</v>
      </c>
      <c r="AH27" s="33">
        <v>0.8445588235294117</v>
      </c>
    </row>
    <row r="28" spans="1:34" x14ac:dyDescent="0.3">
      <c r="A28" s="32" t="s">
        <v>1067</v>
      </c>
      <c r="B28" s="20" t="s">
        <v>1068</v>
      </c>
      <c r="C28" s="20" t="s">
        <v>261</v>
      </c>
      <c r="D28" s="20" t="s">
        <v>274</v>
      </c>
      <c r="E28" s="20">
        <v>2</v>
      </c>
      <c r="F28" s="20" t="s">
        <v>1015</v>
      </c>
      <c r="G28" s="20" t="s">
        <v>1471</v>
      </c>
      <c r="H28" s="20">
        <f t="shared" si="0"/>
        <v>45.091911764705884</v>
      </c>
      <c r="I28" s="33">
        <v>0.31382352941176472</v>
      </c>
      <c r="J28" s="33">
        <v>0.33661764705882347</v>
      </c>
      <c r="K28" s="33">
        <v>0.43955882352941172</v>
      </c>
      <c r="L28" s="33">
        <v>0</v>
      </c>
      <c r="M28" s="33">
        <v>0.15823529411764706</v>
      </c>
      <c r="N28" s="33">
        <v>18.979852941176468</v>
      </c>
      <c r="O28" s="33">
        <v>0.14073529411764704</v>
      </c>
      <c r="P28" s="33">
        <v>6.4852941176470585E-2</v>
      </c>
      <c r="Q28" s="33">
        <v>0.69382352941176462</v>
      </c>
      <c r="R28" s="33">
        <v>0.13617647058823529</v>
      </c>
      <c r="S28" s="33">
        <v>3.3292647058823528</v>
      </c>
      <c r="T28" s="33">
        <v>0</v>
      </c>
      <c r="U28" s="33">
        <v>0</v>
      </c>
      <c r="V28" s="33">
        <v>4.7538235294117639</v>
      </c>
      <c r="W28" s="33">
        <v>0.64500000000000002</v>
      </c>
      <c r="X28" s="33">
        <v>11.20676470588235</v>
      </c>
      <c r="Y28" s="33">
        <v>0.17823529411764708</v>
      </c>
      <c r="Z28" s="33">
        <v>2.691176470588235E-2</v>
      </c>
      <c r="AA28" s="33">
        <v>2.9176470588235293</v>
      </c>
      <c r="AB28" s="33">
        <v>0</v>
      </c>
      <c r="AC28" s="33">
        <v>2.029411764705882E-2</v>
      </c>
      <c r="AD28" s="33">
        <v>5.1029411764705879E-2</v>
      </c>
      <c r="AE28" s="33">
        <v>0</v>
      </c>
      <c r="AF28" s="33">
        <v>0</v>
      </c>
      <c r="AG28" s="33">
        <v>0</v>
      </c>
      <c r="AH28" s="33">
        <v>0.69926470588235301</v>
      </c>
    </row>
    <row r="29" spans="1:34" x14ac:dyDescent="0.3">
      <c r="A29" s="32" t="s">
        <v>1069</v>
      </c>
      <c r="B29" s="20" t="s">
        <v>1070</v>
      </c>
      <c r="C29" s="20" t="s">
        <v>261</v>
      </c>
      <c r="D29" s="20" t="s">
        <v>276</v>
      </c>
      <c r="E29" s="20">
        <v>2</v>
      </c>
      <c r="F29" s="20" t="s">
        <v>1015</v>
      </c>
      <c r="G29" s="20" t="s">
        <v>1471</v>
      </c>
      <c r="H29" s="20">
        <f t="shared" si="0"/>
        <v>18.242058823529412</v>
      </c>
      <c r="I29" s="33">
        <v>0.35838235294117643</v>
      </c>
      <c r="J29" s="33">
        <v>0.39411764705882357</v>
      </c>
      <c r="K29" s="33">
        <v>0.37749999999999995</v>
      </c>
      <c r="L29" s="33">
        <v>0</v>
      </c>
      <c r="M29" s="33">
        <v>7.9558823529411751E-2</v>
      </c>
      <c r="N29" s="33">
        <v>7.4174999999999986</v>
      </c>
      <c r="O29" s="33">
        <v>0</v>
      </c>
      <c r="P29" s="33">
        <v>4.4264705882352942E-2</v>
      </c>
      <c r="Q29" s="33">
        <v>0.37529411764705878</v>
      </c>
      <c r="R29" s="33">
        <v>6.1029411764705881E-2</v>
      </c>
      <c r="S29" s="33">
        <v>1.6094117647058823</v>
      </c>
      <c r="T29" s="33">
        <v>0</v>
      </c>
      <c r="U29" s="33">
        <v>0</v>
      </c>
      <c r="V29" s="33">
        <v>1.9470588235294115</v>
      </c>
      <c r="W29" s="33">
        <v>0.28852941176470587</v>
      </c>
      <c r="X29" s="33">
        <v>4.068088235294117</v>
      </c>
      <c r="Y29" s="33">
        <v>6.1617647058823527E-2</v>
      </c>
      <c r="Z29" s="33">
        <v>2.029411764705882E-2</v>
      </c>
      <c r="AA29" s="33">
        <v>0.91647058823529404</v>
      </c>
      <c r="AB29" s="33">
        <v>0</v>
      </c>
      <c r="AC29" s="33">
        <v>1.4411764705882353E-2</v>
      </c>
      <c r="AD29" s="33">
        <v>2.073529411764706E-2</v>
      </c>
      <c r="AE29" s="33">
        <v>0</v>
      </c>
      <c r="AF29" s="33">
        <v>0</v>
      </c>
      <c r="AG29" s="33">
        <v>0</v>
      </c>
      <c r="AH29" s="33">
        <v>0.18779411764705881</v>
      </c>
    </row>
    <row r="30" spans="1:34" x14ac:dyDescent="0.3">
      <c r="A30" s="32" t="s">
        <v>1071</v>
      </c>
      <c r="B30" s="20" t="s">
        <v>1072</v>
      </c>
      <c r="C30" s="20" t="s">
        <v>20</v>
      </c>
      <c r="D30" s="20" t="s">
        <v>47</v>
      </c>
      <c r="E30" s="20">
        <v>6</v>
      </c>
      <c r="F30" s="20" t="s">
        <v>1015</v>
      </c>
      <c r="G30" s="20" t="s">
        <v>1471</v>
      </c>
      <c r="H30" s="20">
        <f t="shared" si="0"/>
        <v>32.358529411764707</v>
      </c>
      <c r="I30" s="33">
        <v>0.27441176470588236</v>
      </c>
      <c r="J30" s="33">
        <v>0.24485294117647061</v>
      </c>
      <c r="K30" s="33">
        <v>0.25</v>
      </c>
      <c r="L30" s="33">
        <v>0</v>
      </c>
      <c r="M30" s="33">
        <v>8.9705882352941177E-2</v>
      </c>
      <c r="N30" s="33">
        <v>13.02955882352941</v>
      </c>
      <c r="O30" s="33">
        <v>8.3823529411764713E-2</v>
      </c>
      <c r="P30" s="33">
        <v>7.9558823529411751E-2</v>
      </c>
      <c r="Q30" s="33">
        <v>0.56897058823529412</v>
      </c>
      <c r="R30" s="33">
        <v>8.8970588235294107E-2</v>
      </c>
      <c r="S30" s="33">
        <v>2.8130882352941171</v>
      </c>
      <c r="T30" s="33">
        <v>0</v>
      </c>
      <c r="U30" s="33">
        <v>0</v>
      </c>
      <c r="V30" s="33">
        <v>3.8344117647058824</v>
      </c>
      <c r="W30" s="33">
        <v>0.46602941176470591</v>
      </c>
      <c r="X30" s="33">
        <v>7.3754411764705887</v>
      </c>
      <c r="Y30" s="33">
        <v>9.8970588235294116E-2</v>
      </c>
      <c r="Z30" s="33">
        <v>2.4264705882352938E-2</v>
      </c>
      <c r="AA30" s="33">
        <v>2.4189705882352937</v>
      </c>
      <c r="AB30" s="33">
        <v>0</v>
      </c>
      <c r="AC30" s="33">
        <v>1.1470588235294116E-2</v>
      </c>
      <c r="AD30" s="33">
        <v>7.2647058823529398E-2</v>
      </c>
      <c r="AE30" s="33">
        <v>0</v>
      </c>
      <c r="AF30" s="33">
        <v>1.4705882352941178E-4</v>
      </c>
      <c r="AG30" s="33">
        <v>0</v>
      </c>
      <c r="AH30" s="33">
        <v>0.53323529411764703</v>
      </c>
    </row>
    <row r="31" spans="1:34" x14ac:dyDescent="0.3">
      <c r="A31" s="32" t="s">
        <v>1073</v>
      </c>
      <c r="B31" s="20" t="s">
        <v>1074</v>
      </c>
      <c r="C31" s="20" t="s">
        <v>20</v>
      </c>
      <c r="D31" s="20" t="s">
        <v>49</v>
      </c>
      <c r="E31" s="20">
        <v>6</v>
      </c>
      <c r="F31" s="20" t="s">
        <v>1015</v>
      </c>
      <c r="G31" s="20" t="s">
        <v>1471</v>
      </c>
      <c r="H31" s="20">
        <f t="shared" si="0"/>
        <v>37.132647058823522</v>
      </c>
      <c r="I31" s="33">
        <v>0.42588235294117643</v>
      </c>
      <c r="J31" s="33">
        <v>0.54544117647058821</v>
      </c>
      <c r="K31" s="33">
        <v>0.53367647058823531</v>
      </c>
      <c r="L31" s="33">
        <v>0</v>
      </c>
      <c r="M31" s="33">
        <v>0.12808823529411764</v>
      </c>
      <c r="N31" s="33">
        <v>16.343088235294115</v>
      </c>
      <c r="O31" s="33">
        <v>0.17338235294117649</v>
      </c>
      <c r="P31" s="33">
        <v>0.30249999999999999</v>
      </c>
      <c r="Q31" s="33">
        <v>0.62308823529411761</v>
      </c>
      <c r="R31" s="33">
        <v>9.9264705882352935E-2</v>
      </c>
      <c r="S31" s="33">
        <v>3.2870588235294114</v>
      </c>
      <c r="T31" s="33">
        <v>0</v>
      </c>
      <c r="U31" s="33">
        <v>0</v>
      </c>
      <c r="V31" s="33">
        <v>3.9838235294117643</v>
      </c>
      <c r="W31" s="33">
        <v>0.4577941176470588</v>
      </c>
      <c r="X31" s="33">
        <v>7.0736764705882349</v>
      </c>
      <c r="Y31" s="33">
        <v>9.3676470588235292E-2</v>
      </c>
      <c r="Z31" s="33">
        <v>4.3970588235294122E-2</v>
      </c>
      <c r="AA31" s="33">
        <v>2.3927941176470586</v>
      </c>
      <c r="AB31" s="33">
        <v>0</v>
      </c>
      <c r="AC31" s="33">
        <v>1.5147058823529413E-2</v>
      </c>
      <c r="AD31" s="33">
        <v>6.2352941176470583E-2</v>
      </c>
      <c r="AE31" s="33">
        <v>0</v>
      </c>
      <c r="AF31" s="33">
        <v>0</v>
      </c>
      <c r="AG31" s="33">
        <v>0</v>
      </c>
      <c r="AH31" s="33">
        <v>0.54794117647058815</v>
      </c>
    </row>
    <row r="32" spans="1:34" x14ac:dyDescent="0.3">
      <c r="A32" s="32" t="s">
        <v>1075</v>
      </c>
      <c r="B32" s="20" t="s">
        <v>1076</v>
      </c>
      <c r="C32" s="20" t="s">
        <v>20</v>
      </c>
      <c r="D32" s="20" t="s">
        <v>45</v>
      </c>
      <c r="E32" s="20">
        <v>6</v>
      </c>
      <c r="F32" s="20" t="s">
        <v>1015</v>
      </c>
      <c r="G32" s="20" t="s">
        <v>1471</v>
      </c>
      <c r="H32" s="20">
        <f t="shared" si="0"/>
        <v>34.166029411764704</v>
      </c>
      <c r="I32" s="33">
        <v>0.5741176470588234</v>
      </c>
      <c r="J32" s="33">
        <v>0.44588235294117645</v>
      </c>
      <c r="K32" s="33">
        <v>0.39367647058823518</v>
      </c>
      <c r="L32" s="33">
        <v>0</v>
      </c>
      <c r="M32" s="33">
        <v>0.1225</v>
      </c>
      <c r="N32" s="33">
        <v>14.037794117647058</v>
      </c>
      <c r="O32" s="33">
        <v>0.24191176470588233</v>
      </c>
      <c r="P32" s="33">
        <v>0.30705882352941172</v>
      </c>
      <c r="Q32" s="33">
        <v>0.52514705882352941</v>
      </c>
      <c r="R32" s="33">
        <v>9.4999999999999973E-2</v>
      </c>
      <c r="S32" s="33">
        <v>2.5541176470588232</v>
      </c>
      <c r="T32" s="33">
        <v>0</v>
      </c>
      <c r="U32" s="33">
        <v>0</v>
      </c>
      <c r="V32" s="33">
        <v>4.2311764705882347</v>
      </c>
      <c r="W32" s="33">
        <v>0.44264705882352934</v>
      </c>
      <c r="X32" s="33">
        <v>6.990441176470588</v>
      </c>
      <c r="Y32" s="33">
        <v>8.7352941176470578E-2</v>
      </c>
      <c r="Z32" s="33">
        <v>2.2058823529411763E-2</v>
      </c>
      <c r="AA32" s="33">
        <v>2.4649999999999999</v>
      </c>
      <c r="AB32" s="33">
        <v>0</v>
      </c>
      <c r="AC32" s="33">
        <v>1.2352941176470587E-2</v>
      </c>
      <c r="AD32" s="33">
        <v>5.0294117647058822E-2</v>
      </c>
      <c r="AE32" s="33">
        <v>0</v>
      </c>
      <c r="AF32" s="33">
        <v>0</v>
      </c>
      <c r="AG32" s="33">
        <v>0</v>
      </c>
      <c r="AH32" s="33">
        <v>0.56749999999999989</v>
      </c>
    </row>
    <row r="33" spans="1:34" x14ac:dyDescent="0.3">
      <c r="A33" s="32" t="s">
        <v>1077</v>
      </c>
      <c r="B33" s="20" t="s">
        <v>1078</v>
      </c>
      <c r="C33" s="20" t="s">
        <v>20</v>
      </c>
      <c r="D33" s="20" t="s">
        <v>43</v>
      </c>
      <c r="E33" s="20">
        <v>6</v>
      </c>
      <c r="F33" s="20" t="s">
        <v>1015</v>
      </c>
      <c r="G33" s="20" t="s">
        <v>1471</v>
      </c>
      <c r="H33" s="20">
        <f t="shared" si="0"/>
        <v>36.322205882352939</v>
      </c>
      <c r="I33" s="33">
        <v>0.64088235294117646</v>
      </c>
      <c r="J33" s="33">
        <v>0.71823529411764708</v>
      </c>
      <c r="K33" s="33">
        <v>0.62249999999999994</v>
      </c>
      <c r="L33" s="33">
        <v>0</v>
      </c>
      <c r="M33" s="33">
        <v>0.13661764705882351</v>
      </c>
      <c r="N33" s="33">
        <v>16.361617647058821</v>
      </c>
      <c r="O33" s="33">
        <v>0.1338235294117647</v>
      </c>
      <c r="P33" s="33">
        <v>0.29352941176470587</v>
      </c>
      <c r="Q33" s="33">
        <v>0.68029411764705883</v>
      </c>
      <c r="R33" s="33">
        <v>8.9705882352941177E-2</v>
      </c>
      <c r="S33" s="33">
        <v>2.1370588235294115</v>
      </c>
      <c r="T33" s="33">
        <v>0</v>
      </c>
      <c r="U33" s="33">
        <v>0</v>
      </c>
      <c r="V33" s="33">
        <v>3.6751470588235291</v>
      </c>
      <c r="W33" s="33">
        <v>0.33985294117647052</v>
      </c>
      <c r="X33" s="33">
        <v>8.2454411764705888</v>
      </c>
      <c r="Y33" s="33">
        <v>0.11352941176470588</v>
      </c>
      <c r="Z33" s="33">
        <v>2.1764705882352939E-2</v>
      </c>
      <c r="AA33" s="33">
        <v>1.7163235294117647</v>
      </c>
      <c r="AB33" s="33">
        <v>0</v>
      </c>
      <c r="AC33" s="33">
        <v>1.0735294117647058E-2</v>
      </c>
      <c r="AD33" s="33">
        <v>5.0294117647058822E-2</v>
      </c>
      <c r="AE33" s="33">
        <v>0</v>
      </c>
      <c r="AF33" s="33">
        <v>0</v>
      </c>
      <c r="AG33" s="33">
        <v>0</v>
      </c>
      <c r="AH33" s="33">
        <v>0.33485294117647052</v>
      </c>
    </row>
    <row r="34" spans="1:34" x14ac:dyDescent="0.3">
      <c r="A34" s="32" t="s">
        <v>1079</v>
      </c>
      <c r="B34" s="20" t="s">
        <v>1080</v>
      </c>
      <c r="C34" s="20" t="s">
        <v>146</v>
      </c>
      <c r="D34" s="20" t="s">
        <v>163</v>
      </c>
      <c r="E34" s="20">
        <v>6</v>
      </c>
      <c r="F34" s="20" t="s">
        <v>1015</v>
      </c>
      <c r="G34" s="20" t="s">
        <v>1471</v>
      </c>
      <c r="H34" s="20">
        <f t="shared" si="0"/>
        <v>56.329117647058823</v>
      </c>
      <c r="I34" s="33">
        <v>0.27852941176470586</v>
      </c>
      <c r="J34" s="33">
        <v>0.27102941176470585</v>
      </c>
      <c r="K34" s="33">
        <v>0.30985294117647055</v>
      </c>
      <c r="L34" s="33">
        <v>0</v>
      </c>
      <c r="M34" s="33">
        <v>0.14485294117647057</v>
      </c>
      <c r="N34" s="33">
        <v>22.54191176470588</v>
      </c>
      <c r="O34" s="33">
        <v>0.14558823529411766</v>
      </c>
      <c r="P34" s="33">
        <v>0.23132352941176468</v>
      </c>
      <c r="Q34" s="33">
        <v>1.0176470588235293</v>
      </c>
      <c r="R34" s="33">
        <v>0.13220588235294117</v>
      </c>
      <c r="S34" s="33">
        <v>3.67</v>
      </c>
      <c r="T34" s="33">
        <v>0</v>
      </c>
      <c r="U34" s="33">
        <v>0</v>
      </c>
      <c r="V34" s="33">
        <v>6.6157352941176466</v>
      </c>
      <c r="W34" s="33">
        <v>0.77249999999999996</v>
      </c>
      <c r="X34" s="33">
        <v>15.106911764705879</v>
      </c>
      <c r="Y34" s="33">
        <v>0.16882352941176471</v>
      </c>
      <c r="Z34" s="33">
        <v>3.1323529411764701E-2</v>
      </c>
      <c r="AA34" s="33">
        <v>3.8838235294117647</v>
      </c>
      <c r="AB34" s="33">
        <v>0</v>
      </c>
      <c r="AC34" s="33">
        <v>2.2941176470588232E-2</v>
      </c>
      <c r="AD34" s="33">
        <v>7.3235294117647051E-2</v>
      </c>
      <c r="AE34" s="33">
        <v>0</v>
      </c>
      <c r="AF34" s="33">
        <v>0</v>
      </c>
      <c r="AG34" s="33">
        <v>0</v>
      </c>
      <c r="AH34" s="33">
        <v>0.91088235294117637</v>
      </c>
    </row>
    <row r="35" spans="1:34" x14ac:dyDescent="0.3">
      <c r="A35" s="32" t="s">
        <v>1081</v>
      </c>
      <c r="B35" s="20" t="s">
        <v>1082</v>
      </c>
      <c r="C35" s="20" t="s">
        <v>146</v>
      </c>
      <c r="D35" s="20" t="s">
        <v>165</v>
      </c>
      <c r="E35" s="20">
        <v>6</v>
      </c>
      <c r="F35" s="20" t="s">
        <v>1015</v>
      </c>
      <c r="G35" s="20" t="s">
        <v>1471</v>
      </c>
      <c r="H35" s="20">
        <f t="shared" si="0"/>
        <v>43.654117647058811</v>
      </c>
      <c r="I35" s="33">
        <v>0.27632352941176469</v>
      </c>
      <c r="J35" s="33">
        <v>0.2719117647058823</v>
      </c>
      <c r="K35" s="33">
        <v>0.26485294117647057</v>
      </c>
      <c r="L35" s="33">
        <v>0</v>
      </c>
      <c r="M35" s="33">
        <v>0.10720588235294115</v>
      </c>
      <c r="N35" s="33">
        <v>17.837352941176469</v>
      </c>
      <c r="O35" s="33">
        <v>6.279411764705882E-2</v>
      </c>
      <c r="P35" s="33">
        <v>0.14676470588235294</v>
      </c>
      <c r="Q35" s="33">
        <v>0.80088235294117638</v>
      </c>
      <c r="R35" s="33">
        <v>0.10308823529411762</v>
      </c>
      <c r="S35" s="33">
        <v>2.5992647058823524</v>
      </c>
      <c r="T35" s="33">
        <v>0</v>
      </c>
      <c r="U35" s="33">
        <v>0</v>
      </c>
      <c r="V35" s="33">
        <v>4.7202941176470583</v>
      </c>
      <c r="W35" s="33">
        <v>0.60926470588235293</v>
      </c>
      <c r="X35" s="33">
        <v>11.402794117647058</v>
      </c>
      <c r="Y35" s="33">
        <v>0.12058823529411763</v>
      </c>
      <c r="Z35" s="33">
        <v>2.4411764705882352E-2</v>
      </c>
      <c r="AA35" s="33">
        <v>3.3708823529411762</v>
      </c>
      <c r="AB35" s="33">
        <v>0</v>
      </c>
      <c r="AC35" s="33">
        <v>1.6911764705882352E-2</v>
      </c>
      <c r="AD35" s="33">
        <v>5.5294117647058813E-2</v>
      </c>
      <c r="AE35" s="33">
        <v>0</v>
      </c>
      <c r="AF35" s="33">
        <v>0</v>
      </c>
      <c r="AG35" s="33">
        <v>0</v>
      </c>
      <c r="AH35" s="33">
        <v>0.86323529411764699</v>
      </c>
    </row>
    <row r="36" spans="1:34" x14ac:dyDescent="0.3">
      <c r="A36" s="32" t="s">
        <v>1083</v>
      </c>
      <c r="B36" s="20" t="s">
        <v>1084</v>
      </c>
      <c r="C36" s="20" t="s">
        <v>146</v>
      </c>
      <c r="D36" s="20" t="s">
        <v>161</v>
      </c>
      <c r="E36" s="20">
        <v>6</v>
      </c>
      <c r="F36" s="20" t="s">
        <v>1015</v>
      </c>
      <c r="G36" s="20" t="s">
        <v>1471</v>
      </c>
      <c r="H36" s="20">
        <f t="shared" si="0"/>
        <v>51.02382352941175</v>
      </c>
      <c r="I36" s="33">
        <v>0.52205882352941169</v>
      </c>
      <c r="J36" s="33">
        <v>0.52808823529411753</v>
      </c>
      <c r="K36" s="33">
        <v>0.44220588235294117</v>
      </c>
      <c r="L36" s="33">
        <v>0</v>
      </c>
      <c r="M36" s="33">
        <v>0.18161764705882352</v>
      </c>
      <c r="N36" s="33">
        <v>22.77470588235294</v>
      </c>
      <c r="O36" s="33">
        <v>0.20117647058823529</v>
      </c>
      <c r="P36" s="33">
        <v>0.37588235294117645</v>
      </c>
      <c r="Q36" s="33">
        <v>0.88808823529411762</v>
      </c>
      <c r="R36" s="33">
        <v>0.1263235294117647</v>
      </c>
      <c r="S36" s="33">
        <v>2.8461764705882349</v>
      </c>
      <c r="T36" s="33">
        <v>0</v>
      </c>
      <c r="U36" s="33">
        <v>0</v>
      </c>
      <c r="V36" s="33">
        <v>5.1369117647058822</v>
      </c>
      <c r="W36" s="33">
        <v>0.66529411764705881</v>
      </c>
      <c r="X36" s="33">
        <v>12.153382352941176</v>
      </c>
      <c r="Y36" s="33">
        <v>8.8088235294117634E-2</v>
      </c>
      <c r="Z36" s="33">
        <v>2.4411764705882352E-2</v>
      </c>
      <c r="AA36" s="33">
        <v>3.2861764705882353</v>
      </c>
      <c r="AB36" s="33">
        <v>0</v>
      </c>
      <c r="AC36" s="33">
        <v>1.7500000000000002E-2</v>
      </c>
      <c r="AD36" s="33">
        <v>3.1323529411764701E-2</v>
      </c>
      <c r="AE36" s="33">
        <v>0</v>
      </c>
      <c r="AF36" s="33">
        <v>0</v>
      </c>
      <c r="AG36" s="33">
        <v>0</v>
      </c>
      <c r="AH36" s="33">
        <v>0.73441176470588232</v>
      </c>
    </row>
    <row r="37" spans="1:34" x14ac:dyDescent="0.3">
      <c r="A37" s="32" t="s">
        <v>1085</v>
      </c>
      <c r="B37" s="20" t="s">
        <v>1086</v>
      </c>
      <c r="C37" s="20" t="s">
        <v>146</v>
      </c>
      <c r="D37" s="20" t="s">
        <v>167</v>
      </c>
      <c r="E37" s="20">
        <v>6</v>
      </c>
      <c r="F37" s="20" t="s">
        <v>1015</v>
      </c>
      <c r="G37" s="20" t="s">
        <v>1471</v>
      </c>
      <c r="H37" s="20">
        <f t="shared" si="0"/>
        <v>38.461470588235279</v>
      </c>
      <c r="I37" s="33">
        <v>0.3394117647058823</v>
      </c>
      <c r="J37" s="33">
        <v>0.34867647058823525</v>
      </c>
      <c r="K37" s="33">
        <v>0.42779411764705877</v>
      </c>
      <c r="L37" s="33">
        <v>0</v>
      </c>
      <c r="M37" s="33">
        <v>0.13588235294117645</v>
      </c>
      <c r="N37" s="33">
        <v>16.533088235294116</v>
      </c>
      <c r="O37" s="33">
        <v>6.9558823529411756E-2</v>
      </c>
      <c r="P37" s="33">
        <v>0.20058823529411762</v>
      </c>
      <c r="Q37" s="33">
        <v>0.6739705882352941</v>
      </c>
      <c r="R37" s="33">
        <v>0.10558823529411762</v>
      </c>
      <c r="S37" s="33">
        <v>2.884264705882353</v>
      </c>
      <c r="T37" s="33">
        <v>0</v>
      </c>
      <c r="U37" s="33">
        <v>0</v>
      </c>
      <c r="V37" s="33">
        <v>3.8883823529411758</v>
      </c>
      <c r="W37" s="33">
        <v>0.52441176470588224</v>
      </c>
      <c r="X37" s="33">
        <v>9.4708823529411763</v>
      </c>
      <c r="Y37" s="33">
        <v>0.11044117647058822</v>
      </c>
      <c r="Z37" s="33">
        <v>2.4705882352941175E-2</v>
      </c>
      <c r="AA37" s="33">
        <v>2.2349999999999999</v>
      </c>
      <c r="AB37" s="33">
        <v>0</v>
      </c>
      <c r="AC37" s="33">
        <v>1.088235294117647E-2</v>
      </c>
      <c r="AD37" s="33">
        <v>5.5588235294117647E-2</v>
      </c>
      <c r="AE37" s="33">
        <v>0</v>
      </c>
      <c r="AF37" s="33">
        <v>0</v>
      </c>
      <c r="AG37" s="33">
        <v>0</v>
      </c>
      <c r="AH37" s="33">
        <v>0.42235294117647049</v>
      </c>
    </row>
    <row r="38" spans="1:34" x14ac:dyDescent="0.3">
      <c r="A38" s="32" t="s">
        <v>1087</v>
      </c>
      <c r="B38" s="20" t="s">
        <v>1088</v>
      </c>
      <c r="C38" s="20" t="s">
        <v>146</v>
      </c>
      <c r="D38" s="20" t="s">
        <v>169</v>
      </c>
      <c r="E38" s="20">
        <v>6</v>
      </c>
      <c r="F38" s="20" t="s">
        <v>1015</v>
      </c>
      <c r="G38" s="20" t="s">
        <v>1471</v>
      </c>
      <c r="H38" s="20">
        <f t="shared" si="0"/>
        <v>42.872058823529407</v>
      </c>
      <c r="I38" s="33">
        <v>0.62441176470588233</v>
      </c>
      <c r="J38" s="33">
        <v>0.70764705882352941</v>
      </c>
      <c r="K38" s="33">
        <v>0.75235294117647056</v>
      </c>
      <c r="L38" s="33">
        <v>0</v>
      </c>
      <c r="M38" s="33">
        <v>0.23176470588235293</v>
      </c>
      <c r="N38" s="33">
        <v>19.861470588235292</v>
      </c>
      <c r="O38" s="33">
        <v>5.1323529411764698E-2</v>
      </c>
      <c r="P38" s="33">
        <v>0</v>
      </c>
      <c r="Q38" s="33">
        <v>0.91073529411764698</v>
      </c>
      <c r="R38" s="33">
        <v>0.13485294117647056</v>
      </c>
      <c r="S38" s="33">
        <v>2.7852941176470587</v>
      </c>
      <c r="T38" s="33">
        <v>0</v>
      </c>
      <c r="U38" s="33">
        <v>0</v>
      </c>
      <c r="V38" s="33">
        <v>3.9322058823529411</v>
      </c>
      <c r="W38" s="33">
        <v>0.56676470588235284</v>
      </c>
      <c r="X38" s="33">
        <v>9.89970588235294</v>
      </c>
      <c r="Y38" s="33">
        <v>0.12161764705882351</v>
      </c>
      <c r="Z38" s="33">
        <v>3.0294117647058826E-2</v>
      </c>
      <c r="AA38" s="33">
        <v>1.8629411764705877</v>
      </c>
      <c r="AB38" s="33">
        <v>0</v>
      </c>
      <c r="AC38" s="33">
        <v>1.3823529411764703E-2</v>
      </c>
      <c r="AD38" s="33">
        <v>4.5882352941176464E-2</v>
      </c>
      <c r="AE38" s="33">
        <v>0</v>
      </c>
      <c r="AF38" s="33">
        <v>0</v>
      </c>
      <c r="AG38" s="33">
        <v>0</v>
      </c>
      <c r="AH38" s="33">
        <v>0.33897058823529413</v>
      </c>
    </row>
    <row r="39" spans="1:34" x14ac:dyDescent="0.3">
      <c r="A39" s="32" t="s">
        <v>1089</v>
      </c>
      <c r="B39" s="20" t="s">
        <v>1090</v>
      </c>
      <c r="C39" s="20" t="s">
        <v>261</v>
      </c>
      <c r="D39" s="20" t="s">
        <v>290</v>
      </c>
      <c r="E39" s="20">
        <v>6</v>
      </c>
      <c r="F39" s="20" t="s">
        <v>1015</v>
      </c>
      <c r="G39" s="20" t="s">
        <v>1471</v>
      </c>
      <c r="H39" s="20">
        <f t="shared" si="0"/>
        <v>45.034117647058835</v>
      </c>
      <c r="I39" s="33">
        <v>0.33897058823529413</v>
      </c>
      <c r="J39" s="33">
        <v>0.30426470588235288</v>
      </c>
      <c r="K39" s="33">
        <v>0.33147058823529413</v>
      </c>
      <c r="L39" s="33">
        <v>0</v>
      </c>
      <c r="M39" s="33">
        <v>0.13147058823529412</v>
      </c>
      <c r="N39" s="33">
        <v>17.703088235294118</v>
      </c>
      <c r="O39" s="33">
        <v>0.17073529411764707</v>
      </c>
      <c r="P39" s="33">
        <v>0.19249999999999995</v>
      </c>
      <c r="Q39" s="33">
        <v>0.66735294117647048</v>
      </c>
      <c r="R39" s="33">
        <v>0.1426470588235294</v>
      </c>
      <c r="S39" s="33">
        <v>3.7874999999999996</v>
      </c>
      <c r="T39" s="33">
        <v>0</v>
      </c>
      <c r="U39" s="33">
        <v>0</v>
      </c>
      <c r="V39" s="33">
        <v>4.7333823529411765</v>
      </c>
      <c r="W39" s="33">
        <v>0.61955882352941172</v>
      </c>
      <c r="X39" s="33">
        <v>11.315882352941175</v>
      </c>
      <c r="Y39" s="33">
        <v>0.11514705882352941</v>
      </c>
      <c r="Z39" s="33">
        <v>2.1470588235294116E-2</v>
      </c>
      <c r="AA39" s="33">
        <v>3.437794117647059</v>
      </c>
      <c r="AB39" s="33">
        <v>0</v>
      </c>
      <c r="AC39" s="33">
        <v>1.5735294117647059E-2</v>
      </c>
      <c r="AD39" s="33">
        <v>7.5735294117647053E-2</v>
      </c>
      <c r="AE39" s="33">
        <v>0</v>
      </c>
      <c r="AF39" s="33">
        <v>0</v>
      </c>
      <c r="AG39" s="33">
        <v>0</v>
      </c>
      <c r="AH39" s="33">
        <v>0.92941176470588238</v>
      </c>
    </row>
    <row r="40" spans="1:34" x14ac:dyDescent="0.3">
      <c r="A40" s="32" t="s">
        <v>1091</v>
      </c>
      <c r="B40" s="20" t="s">
        <v>1092</v>
      </c>
      <c r="C40" s="20" t="s">
        <v>261</v>
      </c>
      <c r="D40" s="20" t="s">
        <v>292</v>
      </c>
      <c r="E40" s="20">
        <v>6</v>
      </c>
      <c r="F40" s="20" t="s">
        <v>1015</v>
      </c>
      <c r="G40" s="20" t="s">
        <v>1471</v>
      </c>
      <c r="H40" s="20">
        <f t="shared" si="0"/>
        <v>56.039264705882353</v>
      </c>
      <c r="I40" s="33">
        <v>0.35691176470588232</v>
      </c>
      <c r="J40" s="33">
        <v>0.39985294117647058</v>
      </c>
      <c r="K40" s="33">
        <v>0.53308823529411753</v>
      </c>
      <c r="L40" s="33">
        <v>0</v>
      </c>
      <c r="M40" s="33">
        <v>0.18705882352941178</v>
      </c>
      <c r="N40" s="33">
        <v>23.922205882352941</v>
      </c>
      <c r="O40" s="33">
        <v>0.23102941176470582</v>
      </c>
      <c r="P40" s="33">
        <v>0.34661764705882347</v>
      </c>
      <c r="Q40" s="33">
        <v>0.99117647058823521</v>
      </c>
      <c r="R40" s="33">
        <v>0.1414705882352941</v>
      </c>
      <c r="S40" s="33">
        <v>4.0922058823529408</v>
      </c>
      <c r="T40" s="33">
        <v>0</v>
      </c>
      <c r="U40" s="33">
        <v>0</v>
      </c>
      <c r="V40" s="33">
        <v>5.6899999999999995</v>
      </c>
      <c r="W40" s="33">
        <v>0.79602941176470587</v>
      </c>
      <c r="X40" s="33">
        <v>13.316764705882351</v>
      </c>
      <c r="Y40" s="33">
        <v>0.1101470588235294</v>
      </c>
      <c r="Z40" s="33">
        <v>2.2647058823529409E-2</v>
      </c>
      <c r="AA40" s="33">
        <v>3.9108823529411763</v>
      </c>
      <c r="AB40" s="33">
        <v>0</v>
      </c>
      <c r="AC40" s="33">
        <v>1.7647058823529408E-2</v>
      </c>
      <c r="AD40" s="33">
        <v>0.10176470588235294</v>
      </c>
      <c r="AE40" s="33">
        <v>0</v>
      </c>
      <c r="AF40" s="33">
        <v>0</v>
      </c>
      <c r="AG40" s="33">
        <v>0</v>
      </c>
      <c r="AH40" s="33">
        <v>0.87176470588235289</v>
      </c>
    </row>
    <row r="41" spans="1:34" x14ac:dyDescent="0.3">
      <c r="A41" s="32" t="s">
        <v>1093</v>
      </c>
      <c r="B41" s="20" t="s">
        <v>1094</v>
      </c>
      <c r="C41" s="20" t="s">
        <v>261</v>
      </c>
      <c r="D41" s="20" t="s">
        <v>288</v>
      </c>
      <c r="E41" s="20">
        <v>6</v>
      </c>
      <c r="F41" s="20" t="s">
        <v>1015</v>
      </c>
      <c r="G41" s="20" t="s">
        <v>1471</v>
      </c>
      <c r="H41" s="20">
        <f t="shared" si="0"/>
        <v>47.452941176470596</v>
      </c>
      <c r="I41" s="33">
        <v>0.26058823529411762</v>
      </c>
      <c r="J41" s="33">
        <v>0.2727941176470588</v>
      </c>
      <c r="K41" s="33">
        <v>0.34720588235294114</v>
      </c>
      <c r="L41" s="33">
        <v>0</v>
      </c>
      <c r="M41" s="33">
        <v>0.12794117647058822</v>
      </c>
      <c r="N41" s="33">
        <v>19.170588235294119</v>
      </c>
      <c r="O41" s="33">
        <v>0.27058823529411763</v>
      </c>
      <c r="P41" s="33">
        <v>0.45955882352941174</v>
      </c>
      <c r="Q41" s="33">
        <v>0.84691176470588225</v>
      </c>
      <c r="R41" s="33">
        <v>0.12852941176470586</v>
      </c>
      <c r="S41" s="33">
        <v>3.998823529411764</v>
      </c>
      <c r="T41" s="33">
        <v>0</v>
      </c>
      <c r="U41" s="33">
        <v>0</v>
      </c>
      <c r="V41" s="33">
        <v>4.0474999999999994</v>
      </c>
      <c r="W41" s="33">
        <v>0.60955882352941171</v>
      </c>
      <c r="X41" s="33">
        <v>11.06720588235294</v>
      </c>
      <c r="Y41" s="33">
        <v>8.8382352941176467E-2</v>
      </c>
      <c r="Z41" s="33">
        <v>2.3823529411764705E-2</v>
      </c>
      <c r="AA41" s="33">
        <v>4.6223529411764703</v>
      </c>
      <c r="AB41" s="33">
        <v>0</v>
      </c>
      <c r="AC41" s="33">
        <v>1.5735294117647059E-2</v>
      </c>
      <c r="AD41" s="33">
        <v>6.6764705882352934E-2</v>
      </c>
      <c r="AE41" s="33">
        <v>0</v>
      </c>
      <c r="AF41" s="33">
        <v>0</v>
      </c>
      <c r="AG41" s="33">
        <v>0</v>
      </c>
      <c r="AH41" s="33">
        <v>1.0280882352941176</v>
      </c>
    </row>
    <row r="42" spans="1:34" x14ac:dyDescent="0.3">
      <c r="A42" s="32" t="s">
        <v>1095</v>
      </c>
      <c r="B42" s="20" t="s">
        <v>1096</v>
      </c>
      <c r="C42" s="20" t="s">
        <v>261</v>
      </c>
      <c r="D42" s="20" t="s">
        <v>286</v>
      </c>
      <c r="E42" s="20">
        <v>6</v>
      </c>
      <c r="F42" s="20" t="s">
        <v>1015</v>
      </c>
      <c r="G42" s="20" t="s">
        <v>1471</v>
      </c>
      <c r="H42" s="20">
        <f t="shared" si="0"/>
        <v>32.33176470588235</v>
      </c>
      <c r="I42" s="33">
        <v>0.32779411764705885</v>
      </c>
      <c r="J42" s="33">
        <v>0.3470588235294117</v>
      </c>
      <c r="K42" s="33">
        <v>0.38911764705882357</v>
      </c>
      <c r="L42" s="33">
        <v>0</v>
      </c>
      <c r="M42" s="33">
        <v>9.6764705882352933E-2</v>
      </c>
      <c r="N42" s="33">
        <v>11.434117647058823</v>
      </c>
      <c r="O42" s="33">
        <v>0.1951470588235294</v>
      </c>
      <c r="P42" s="33">
        <v>0.28147058823529408</v>
      </c>
      <c r="Q42" s="33">
        <v>0.44558823529411762</v>
      </c>
      <c r="R42" s="33">
        <v>9.6470588235294114E-2</v>
      </c>
      <c r="S42" s="33">
        <v>2.7002941176470587</v>
      </c>
      <c r="T42" s="33">
        <v>0</v>
      </c>
      <c r="U42" s="33">
        <v>0</v>
      </c>
      <c r="V42" s="33">
        <v>4.4798529411764703</v>
      </c>
      <c r="W42" s="33">
        <v>0.66764705882352937</v>
      </c>
      <c r="X42" s="33">
        <v>7.7879411764705884</v>
      </c>
      <c r="Y42" s="33">
        <v>8.6617647058823535E-2</v>
      </c>
      <c r="Z42" s="33">
        <v>2.2352941176470589E-2</v>
      </c>
      <c r="AA42" s="33">
        <v>2.4082352941176466</v>
      </c>
      <c r="AB42" s="33">
        <v>0</v>
      </c>
      <c r="AC42" s="33">
        <v>1.4999999999999999E-2</v>
      </c>
      <c r="AD42" s="33">
        <v>4.794117647058823E-2</v>
      </c>
      <c r="AE42" s="33">
        <v>0</v>
      </c>
      <c r="AF42" s="33">
        <v>0</v>
      </c>
      <c r="AG42" s="33">
        <v>0</v>
      </c>
      <c r="AH42" s="33">
        <v>0.50235294117647056</v>
      </c>
    </row>
  </sheetData>
  <conditionalFormatting sqref="D1">
    <cfRule type="containsText" dxfId="1" priority="1" stopIfTrue="1" operator="containsText" text="OMM7">
      <formula>NOT(ISERROR(SEARCH("OMM7",D1)))</formula>
    </cfRule>
  </conditionalFormatting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186"/>
  <sheetViews>
    <sheetView zoomScaleNormal="100" workbookViewId="0">
      <selection activeCell="AD9" sqref="AD9"/>
    </sheetView>
  </sheetViews>
  <sheetFormatPr baseColWidth="10" defaultRowHeight="14.4" x14ac:dyDescent="0.3"/>
  <cols>
    <col min="1" max="1" width="19.44140625" bestFit="1" customWidth="1"/>
    <col min="2" max="2" width="20.33203125" bestFit="1" customWidth="1"/>
    <col min="3" max="3" width="12.88671875" bestFit="1" customWidth="1"/>
    <col min="4" max="4" width="20.109375" bestFit="1" customWidth="1"/>
    <col min="5" max="5" width="13" bestFit="1" customWidth="1"/>
    <col min="6" max="6" width="25.5546875" bestFit="1" customWidth="1"/>
    <col min="7" max="7" width="36.21875" bestFit="1" customWidth="1"/>
    <col min="8" max="8" width="26.44140625" bestFit="1" customWidth="1"/>
    <col min="10" max="12" width="11.5546875" bestFit="1" customWidth="1"/>
    <col min="13" max="13" width="12.44140625" bestFit="1" customWidth="1"/>
    <col min="14" max="14" width="11.5546875" bestFit="1" customWidth="1"/>
    <col min="15" max="17" width="18.44140625" bestFit="1" customWidth="1"/>
    <col min="18" max="18" width="18.5546875" bestFit="1" customWidth="1"/>
    <col min="19" max="19" width="11.5546875" bestFit="1" customWidth="1"/>
    <col min="20" max="22" width="17.88671875" bestFit="1" customWidth="1"/>
    <col min="23" max="23" width="18.5546875" bestFit="1" customWidth="1"/>
    <col min="24" max="24" width="19.5546875" bestFit="1" customWidth="1"/>
    <col min="25" max="25" width="22.33203125" bestFit="1" customWidth="1"/>
    <col min="26" max="26" width="26" bestFit="1" customWidth="1"/>
    <col min="27" max="27" width="11.5546875" bestFit="1" customWidth="1"/>
    <col min="28" max="28" width="28.5546875" bestFit="1" customWidth="1"/>
    <col min="29" max="29" width="28.5546875" customWidth="1"/>
    <col min="30" max="30" width="14.77734375" bestFit="1" customWidth="1"/>
    <col min="31" max="31" width="19.5546875" customWidth="1"/>
    <col min="32" max="32" width="29.5546875" bestFit="1" customWidth="1"/>
    <col min="33" max="33" width="19.5546875" bestFit="1" customWidth="1"/>
    <col min="34" max="34" width="33.33203125" bestFit="1" customWidth="1"/>
    <col min="35" max="35" width="35.88671875" bestFit="1" customWidth="1"/>
  </cols>
  <sheetData>
    <row r="1" spans="1:35" ht="15" thickBot="1" x14ac:dyDescent="0.35">
      <c r="A1" s="13" t="s">
        <v>708</v>
      </c>
      <c r="B1" s="56" t="s">
        <v>710</v>
      </c>
      <c r="C1" s="2" t="s">
        <v>0</v>
      </c>
      <c r="D1" s="2" t="s">
        <v>709</v>
      </c>
      <c r="E1" s="2" t="s">
        <v>1</v>
      </c>
      <c r="F1" s="28" t="s">
        <v>990</v>
      </c>
      <c r="G1" s="28" t="s">
        <v>1473</v>
      </c>
      <c r="H1" s="28" t="s">
        <v>993</v>
      </c>
      <c r="I1" s="39" t="s">
        <v>1011</v>
      </c>
      <c r="J1" s="36" t="s">
        <v>2</v>
      </c>
      <c r="K1" s="36" t="s">
        <v>3</v>
      </c>
      <c r="L1" s="36" t="s">
        <v>4</v>
      </c>
      <c r="M1" s="37" t="s">
        <v>996</v>
      </c>
      <c r="N1" s="36" t="s">
        <v>5</v>
      </c>
      <c r="O1" s="36" t="s">
        <v>6</v>
      </c>
      <c r="P1" s="36" t="s">
        <v>992</v>
      </c>
      <c r="Q1" s="36" t="s">
        <v>991</v>
      </c>
      <c r="R1" s="36" t="s">
        <v>997</v>
      </c>
      <c r="S1" s="36" t="s">
        <v>7</v>
      </c>
      <c r="T1" s="36" t="s">
        <v>8</v>
      </c>
      <c r="U1" s="36" t="s">
        <v>9</v>
      </c>
      <c r="V1" s="36" t="s">
        <v>10</v>
      </c>
      <c r="W1" s="36" t="s">
        <v>998</v>
      </c>
      <c r="X1" s="36" t="s">
        <v>999</v>
      </c>
      <c r="Y1" s="36" t="s">
        <v>1000</v>
      </c>
      <c r="Z1" s="36" t="s">
        <v>1002</v>
      </c>
      <c r="AA1" s="36" t="s">
        <v>11</v>
      </c>
      <c r="AB1" s="36" t="s">
        <v>1004</v>
      </c>
      <c r="AC1" s="36" t="s">
        <v>1005</v>
      </c>
      <c r="AD1" s="48" t="s">
        <v>12</v>
      </c>
      <c r="AE1" s="48" t="s">
        <v>1097</v>
      </c>
      <c r="AF1" s="48" t="s">
        <v>1008</v>
      </c>
      <c r="AG1" s="48" t="s">
        <v>1009</v>
      </c>
      <c r="AH1" s="31" t="s">
        <v>1470</v>
      </c>
      <c r="AI1" s="38" t="s">
        <v>1010</v>
      </c>
    </row>
    <row r="2" spans="1:35" x14ac:dyDescent="0.3">
      <c r="A2" s="40" t="s">
        <v>1098</v>
      </c>
      <c r="B2" s="41" t="s">
        <v>1099</v>
      </c>
      <c r="C2" s="41" t="s">
        <v>20</v>
      </c>
      <c r="D2" s="41" t="s">
        <v>21</v>
      </c>
      <c r="E2" s="41">
        <v>0</v>
      </c>
      <c r="F2" s="41" t="s">
        <v>1100</v>
      </c>
      <c r="G2" s="51">
        <v>33.000000000000803</v>
      </c>
      <c r="H2" s="41" t="s">
        <v>1472</v>
      </c>
      <c r="I2" s="42">
        <f>SUM(J2:AI2)</f>
        <v>49.597176470588224</v>
      </c>
      <c r="J2" s="43">
        <v>0.23705882352941177</v>
      </c>
      <c r="K2" s="43">
        <v>0.32905882352941174</v>
      </c>
      <c r="L2" s="43">
        <v>0.48423529411764704</v>
      </c>
      <c r="M2" s="43">
        <v>0</v>
      </c>
      <c r="N2" s="43">
        <v>0.15482352941176469</v>
      </c>
      <c r="O2" s="43">
        <v>11.692588235294117</v>
      </c>
      <c r="P2" s="43">
        <v>0</v>
      </c>
      <c r="Q2" s="43">
        <v>0</v>
      </c>
      <c r="R2" s="43">
        <v>0.41482352941176465</v>
      </c>
      <c r="S2" s="43">
        <v>0.15058823529411763</v>
      </c>
      <c r="T2" s="43">
        <v>4.983411764705882</v>
      </c>
      <c r="U2" s="43">
        <v>0</v>
      </c>
      <c r="V2" s="43">
        <v>0</v>
      </c>
      <c r="W2" s="43">
        <v>10.070235294117646</v>
      </c>
      <c r="X2" s="43">
        <v>0.69517647058823517</v>
      </c>
      <c r="Y2" s="43">
        <v>17.118117647058821</v>
      </c>
      <c r="Z2" s="43">
        <v>1.044941176470588</v>
      </c>
      <c r="AA2" s="43">
        <v>0.28035294117647058</v>
      </c>
      <c r="AB2" s="43">
        <v>1.2205882352941175</v>
      </c>
      <c r="AC2" s="43">
        <v>0</v>
      </c>
      <c r="AD2" s="43">
        <v>0.29729411764705882</v>
      </c>
      <c r="AE2" s="57">
        <v>8.4117647058823519E-2</v>
      </c>
      <c r="AF2" s="43">
        <v>4.2470588235294114E-2</v>
      </c>
      <c r="AG2" s="43">
        <v>0.10223529411764705</v>
      </c>
      <c r="AH2" s="43">
        <v>1.6941176470588234E-2</v>
      </c>
      <c r="AI2" s="43">
        <v>0.17811764705882352</v>
      </c>
    </row>
    <row r="3" spans="1:35" x14ac:dyDescent="0.3">
      <c r="A3" s="32" t="s">
        <v>1129</v>
      </c>
      <c r="B3" s="20" t="s">
        <v>1130</v>
      </c>
      <c r="C3" s="20" t="s">
        <v>146</v>
      </c>
      <c r="D3" s="20" t="s">
        <v>141</v>
      </c>
      <c r="E3" s="20">
        <v>0</v>
      </c>
      <c r="F3" s="20" t="s">
        <v>1100</v>
      </c>
      <c r="G3" s="46">
        <v>53.499999999999659</v>
      </c>
      <c r="H3" s="41" t="s">
        <v>1472</v>
      </c>
      <c r="I3" s="44">
        <f>SUM(J3:AI3)</f>
        <v>46.094705882352947</v>
      </c>
      <c r="J3" s="33">
        <v>0.22905882352941176</v>
      </c>
      <c r="K3" s="33">
        <v>0.28682352941176464</v>
      </c>
      <c r="L3" s="33">
        <v>0.92082352941176471</v>
      </c>
      <c r="M3" s="43">
        <v>0</v>
      </c>
      <c r="N3" s="33">
        <v>1.6372941176470586</v>
      </c>
      <c r="O3" s="33">
        <v>11.623764705882353</v>
      </c>
      <c r="P3" s="33">
        <v>0</v>
      </c>
      <c r="Q3" s="33">
        <v>0</v>
      </c>
      <c r="R3" s="33">
        <v>0.22011764705882353</v>
      </c>
      <c r="S3" s="33">
        <v>0.38517647058823523</v>
      </c>
      <c r="T3" s="33">
        <v>4.1419999999999995</v>
      </c>
      <c r="U3" s="33">
        <v>0</v>
      </c>
      <c r="V3" s="33">
        <v>0</v>
      </c>
      <c r="W3" s="33">
        <v>8.8450588235294116</v>
      </c>
      <c r="X3" s="33">
        <v>0.70952941176470585</v>
      </c>
      <c r="Y3" s="33">
        <v>14.273176470588234</v>
      </c>
      <c r="Z3" s="33">
        <v>0.91564705882352926</v>
      </c>
      <c r="AA3" s="33">
        <v>0.28423529411764703</v>
      </c>
      <c r="AB3" s="33">
        <v>0.8509411764705882</v>
      </c>
      <c r="AC3" s="43">
        <v>0</v>
      </c>
      <c r="AD3" s="33">
        <v>0.36317647058823527</v>
      </c>
      <c r="AE3" s="21">
        <v>9.7294117647058809E-2</v>
      </c>
      <c r="AF3" s="33">
        <v>4.9176470588235287E-2</v>
      </c>
      <c r="AG3" s="33">
        <v>0.12505882352941175</v>
      </c>
      <c r="AH3" s="33">
        <v>8.4705882352941169E-3</v>
      </c>
      <c r="AI3" s="33">
        <v>0.12788235294117645</v>
      </c>
    </row>
    <row r="4" spans="1:35" x14ac:dyDescent="0.3">
      <c r="A4" s="32" t="s">
        <v>1159</v>
      </c>
      <c r="B4" s="20" t="s">
        <v>1160</v>
      </c>
      <c r="C4" s="20" t="s">
        <v>261</v>
      </c>
      <c r="D4" s="20" t="s">
        <v>262</v>
      </c>
      <c r="E4" s="20">
        <v>0</v>
      </c>
      <c r="F4" s="20" t="s">
        <v>1100</v>
      </c>
      <c r="G4" s="46">
        <v>21.500000000000963</v>
      </c>
      <c r="H4" s="41" t="s">
        <v>1472</v>
      </c>
      <c r="I4" s="44">
        <f>SUM(J4:AI4)</f>
        <v>50.899529411764703</v>
      </c>
      <c r="J4" s="33">
        <v>0.2091764705882353</v>
      </c>
      <c r="K4" s="33">
        <v>0.47070588235294109</v>
      </c>
      <c r="L4" s="33">
        <v>1.5538823529411763</v>
      </c>
      <c r="M4" s="43">
        <v>0</v>
      </c>
      <c r="N4" s="33">
        <v>0.60058823529411753</v>
      </c>
      <c r="O4" s="33">
        <v>15.996941176470587</v>
      </c>
      <c r="P4" s="33">
        <v>0</v>
      </c>
      <c r="Q4" s="33">
        <v>0</v>
      </c>
      <c r="R4" s="33">
        <v>0.28882352941176465</v>
      </c>
      <c r="S4" s="33">
        <v>0.61035294117647054</v>
      </c>
      <c r="T4" s="33">
        <v>5.9234117647058815</v>
      </c>
      <c r="U4" s="33">
        <v>0</v>
      </c>
      <c r="V4" s="33">
        <v>0</v>
      </c>
      <c r="W4" s="33">
        <v>7.4658823529411764</v>
      </c>
      <c r="X4" s="33">
        <v>1.2555294117647058</v>
      </c>
      <c r="Y4" s="33">
        <v>14.092823529411762</v>
      </c>
      <c r="Z4" s="33">
        <v>0.82976470588235285</v>
      </c>
      <c r="AA4" s="33">
        <v>0.35199999999999998</v>
      </c>
      <c r="AB4" s="33">
        <v>0.48399999999999999</v>
      </c>
      <c r="AC4" s="43">
        <v>0</v>
      </c>
      <c r="AD4" s="33">
        <v>0.35176470588235292</v>
      </c>
      <c r="AE4" s="21">
        <v>9.6823529411764697E-2</v>
      </c>
      <c r="AF4" s="33">
        <v>3.8705882352941173E-2</v>
      </c>
      <c r="AG4" s="33">
        <v>0.14752941176470588</v>
      </c>
      <c r="AH4" s="33">
        <v>3.3411764705882349E-2</v>
      </c>
      <c r="AI4" s="33">
        <v>9.7411764705882337E-2</v>
      </c>
    </row>
    <row r="5" spans="1:35" x14ac:dyDescent="0.3">
      <c r="A5" s="32" t="s">
        <v>1107</v>
      </c>
      <c r="B5" s="20" t="s">
        <v>1108</v>
      </c>
      <c r="C5" s="20" t="s">
        <v>20</v>
      </c>
      <c r="D5" s="20" t="s">
        <v>23</v>
      </c>
      <c r="E5" s="20">
        <v>1</v>
      </c>
      <c r="F5" s="20" t="s">
        <v>1100</v>
      </c>
      <c r="G5" s="46">
        <v>46.500000000000426</v>
      </c>
      <c r="H5" s="41" t="s">
        <v>1472</v>
      </c>
      <c r="I5" s="44">
        <f>SUM(J5:AI5)</f>
        <v>41.504705882352944</v>
      </c>
      <c r="J5" s="33">
        <v>0.26152941176470584</v>
      </c>
      <c r="K5" s="33">
        <v>0.35470588235294115</v>
      </c>
      <c r="L5" s="33">
        <v>0.35399999999999998</v>
      </c>
      <c r="M5" s="43">
        <v>0</v>
      </c>
      <c r="N5" s="33">
        <v>0.10176470588235292</v>
      </c>
      <c r="O5" s="33">
        <v>10.09870588235294</v>
      </c>
      <c r="P5" s="33">
        <v>0</v>
      </c>
      <c r="Q5" s="33">
        <v>0</v>
      </c>
      <c r="R5" s="33">
        <v>0.14952941176470588</v>
      </c>
      <c r="S5" s="33">
        <v>0.14823529411764705</v>
      </c>
      <c r="T5" s="33">
        <v>4.52835294117647</v>
      </c>
      <c r="U5" s="33">
        <v>0</v>
      </c>
      <c r="V5" s="33">
        <v>0</v>
      </c>
      <c r="W5" s="33">
        <v>7.28270588235294</v>
      </c>
      <c r="X5" s="33">
        <v>0.52564705882352936</v>
      </c>
      <c r="Y5" s="33">
        <v>15.057529411764705</v>
      </c>
      <c r="Z5" s="33">
        <v>1.012</v>
      </c>
      <c r="AA5" s="33">
        <v>0.31870588235294117</v>
      </c>
      <c r="AB5" s="33">
        <v>0.60023529411764709</v>
      </c>
      <c r="AC5" s="43">
        <v>0</v>
      </c>
      <c r="AD5" s="33">
        <v>0.35235294117647059</v>
      </c>
      <c r="AE5" s="21">
        <v>9.7176470588235281E-2</v>
      </c>
      <c r="AF5" s="33">
        <v>2.8000000000000001E-2</v>
      </c>
      <c r="AG5" s="33">
        <v>8.9529411764705871E-2</v>
      </c>
      <c r="AH5" s="33">
        <v>1.3647058823529411E-2</v>
      </c>
      <c r="AI5" s="33">
        <v>0.13035294117647056</v>
      </c>
    </row>
    <row r="6" spans="1:35" x14ac:dyDescent="0.3">
      <c r="A6" s="32" t="s">
        <v>1109</v>
      </c>
      <c r="B6" s="20" t="s">
        <v>1110</v>
      </c>
      <c r="C6" s="20" t="s">
        <v>20</v>
      </c>
      <c r="D6" s="20" t="s">
        <v>25</v>
      </c>
      <c r="E6" s="20">
        <v>1</v>
      </c>
      <c r="F6" s="20" t="s">
        <v>1100</v>
      </c>
      <c r="G6" s="46">
        <v>66.500000000000441</v>
      </c>
      <c r="H6" s="41" t="s">
        <v>1472</v>
      </c>
      <c r="I6" s="44">
        <f>SUM(J6:AI6)</f>
        <v>32.109058823529402</v>
      </c>
      <c r="J6" s="33">
        <v>0.22235294117647056</v>
      </c>
      <c r="K6" s="33">
        <v>0.25894117647058817</v>
      </c>
      <c r="L6" s="33">
        <v>0.28223529411764703</v>
      </c>
      <c r="M6" s="43">
        <v>0</v>
      </c>
      <c r="N6" s="33">
        <v>9.4117647058823528E-2</v>
      </c>
      <c r="O6" s="33">
        <v>7.5299999999999994</v>
      </c>
      <c r="P6" s="33">
        <v>0</v>
      </c>
      <c r="Q6" s="33">
        <v>0</v>
      </c>
      <c r="R6" s="33">
        <v>0.16670588235294118</v>
      </c>
      <c r="S6" s="33">
        <v>0.13011764705882353</v>
      </c>
      <c r="T6" s="33">
        <v>4.0659999999999989</v>
      </c>
      <c r="U6" s="33">
        <v>0</v>
      </c>
      <c r="V6" s="33">
        <v>0</v>
      </c>
      <c r="W6" s="33">
        <v>5.6818823529411757</v>
      </c>
      <c r="X6" s="33">
        <v>0.43882352941176467</v>
      </c>
      <c r="Y6" s="33">
        <v>10.843882352941176</v>
      </c>
      <c r="Z6" s="33">
        <v>0.71929411764705875</v>
      </c>
      <c r="AA6" s="33">
        <v>0.30635294117647055</v>
      </c>
      <c r="AB6" s="33">
        <v>0.60282352941176465</v>
      </c>
      <c r="AC6" s="43">
        <v>0</v>
      </c>
      <c r="AD6" s="33">
        <v>0.35952941176470588</v>
      </c>
      <c r="AE6" s="21">
        <v>0.10364705882352941</v>
      </c>
      <c r="AF6" s="33">
        <v>3.7882352941176471E-2</v>
      </c>
      <c r="AG6" s="33">
        <v>0.13058823529411764</v>
      </c>
      <c r="AH6" s="33">
        <v>1.1176470588235293E-2</v>
      </c>
      <c r="AI6" s="33">
        <v>0.12270588235294116</v>
      </c>
    </row>
    <row r="7" spans="1:35" x14ac:dyDescent="0.3">
      <c r="A7" s="32" t="s">
        <v>1101</v>
      </c>
      <c r="B7" s="20" t="s">
        <v>1102</v>
      </c>
      <c r="C7" s="20" t="s">
        <v>20</v>
      </c>
      <c r="D7" s="20" t="s">
        <v>27</v>
      </c>
      <c r="E7" s="20">
        <v>1</v>
      </c>
      <c r="F7" s="20" t="s">
        <v>1100</v>
      </c>
      <c r="G7" s="46">
        <v>41.499999999999865</v>
      </c>
      <c r="H7" s="41" t="s">
        <v>1472</v>
      </c>
      <c r="I7" s="44">
        <f>SUM(J7:AI7)</f>
        <v>145.51670588235288</v>
      </c>
      <c r="J7" s="33">
        <v>0.2731764705882353</v>
      </c>
      <c r="K7" s="33">
        <v>0.80129411764705882</v>
      </c>
      <c r="L7" s="33">
        <v>2.1796470588235293</v>
      </c>
      <c r="M7" s="43">
        <v>0</v>
      </c>
      <c r="N7" s="33">
        <v>0.18070588235294116</v>
      </c>
      <c r="O7" s="33">
        <v>36.64411764705882</v>
      </c>
      <c r="P7" s="33">
        <v>0</v>
      </c>
      <c r="Q7" s="33">
        <v>0</v>
      </c>
      <c r="R7" s="33">
        <v>5.855999999999999</v>
      </c>
      <c r="S7" s="33">
        <v>0.2384705882352941</v>
      </c>
      <c r="T7" s="33">
        <v>9.4301176470588235</v>
      </c>
      <c r="U7" s="33">
        <v>0</v>
      </c>
      <c r="V7" s="33">
        <v>0</v>
      </c>
      <c r="W7" s="33">
        <v>43.107176470588229</v>
      </c>
      <c r="X7" s="33">
        <v>2.4829411764705878</v>
      </c>
      <c r="Y7" s="33">
        <v>39.71223529411764</v>
      </c>
      <c r="Z7" s="33">
        <v>2.0581176470588236</v>
      </c>
      <c r="AA7" s="33">
        <v>0.3665882352941176</v>
      </c>
      <c r="AB7" s="33">
        <v>1.3205882352941176</v>
      </c>
      <c r="AC7" s="43">
        <v>0</v>
      </c>
      <c r="AD7" s="33">
        <v>0.29952941176470588</v>
      </c>
      <c r="AE7" s="21">
        <v>7.5294117647058817E-2</v>
      </c>
      <c r="AF7" s="33">
        <v>8.7647058823529411E-2</v>
      </c>
      <c r="AG7" s="33">
        <v>7.9647058823529404E-2</v>
      </c>
      <c r="AH7" s="33">
        <v>3.5294117647058823E-2</v>
      </c>
      <c r="AI7" s="33">
        <v>0.28811764705882353</v>
      </c>
    </row>
    <row r="8" spans="1:35" x14ac:dyDescent="0.3">
      <c r="A8" s="32" t="s">
        <v>1103</v>
      </c>
      <c r="B8" s="20" t="s">
        <v>1104</v>
      </c>
      <c r="C8" s="20" t="s">
        <v>20</v>
      </c>
      <c r="D8" s="20" t="s">
        <v>29</v>
      </c>
      <c r="E8" s="20">
        <v>1</v>
      </c>
      <c r="F8" s="20" t="s">
        <v>1100</v>
      </c>
      <c r="G8" s="46">
        <v>58.00000000000027</v>
      </c>
      <c r="H8" s="41" t="s">
        <v>1472</v>
      </c>
      <c r="I8" s="44">
        <f>SUM(J8:AI8)</f>
        <v>44.240588235294098</v>
      </c>
      <c r="J8" s="33">
        <v>0.28399999999999997</v>
      </c>
      <c r="K8" s="33">
        <v>0.82247058823529406</v>
      </c>
      <c r="L8" s="33">
        <v>0.38823529411764707</v>
      </c>
      <c r="M8" s="43">
        <v>0</v>
      </c>
      <c r="N8" s="33">
        <v>0.10199999999999999</v>
      </c>
      <c r="O8" s="33">
        <v>10.221647058823519</v>
      </c>
      <c r="P8" s="33">
        <v>0</v>
      </c>
      <c r="Q8" s="33">
        <v>0</v>
      </c>
      <c r="R8" s="33">
        <v>0.21341176470588233</v>
      </c>
      <c r="S8" s="33">
        <v>0.1416470588235294</v>
      </c>
      <c r="T8" s="33">
        <v>4.6291764705882352</v>
      </c>
      <c r="U8" s="33">
        <v>0</v>
      </c>
      <c r="V8" s="33">
        <v>0</v>
      </c>
      <c r="W8" s="33">
        <v>8.0442352941176463</v>
      </c>
      <c r="X8" s="33">
        <v>0.65799999999999992</v>
      </c>
      <c r="Y8" s="33">
        <v>15.390823529411763</v>
      </c>
      <c r="Z8" s="33">
        <v>0.98694117647058821</v>
      </c>
      <c r="AA8" s="33">
        <v>0.33964705882352936</v>
      </c>
      <c r="AB8" s="33">
        <v>1.1784705882352939</v>
      </c>
      <c r="AC8" s="43">
        <v>0</v>
      </c>
      <c r="AD8" s="33">
        <v>0.36176470588235293</v>
      </c>
      <c r="AE8" s="21">
        <v>0.10235294117647058</v>
      </c>
      <c r="AF8" s="33">
        <v>5.8588235294117642E-2</v>
      </c>
      <c r="AG8" s="33">
        <v>0.10670588235294116</v>
      </c>
      <c r="AH8" s="33">
        <v>2.2470588235294117E-2</v>
      </c>
      <c r="AI8" s="33">
        <v>0.188</v>
      </c>
    </row>
    <row r="9" spans="1:35" x14ac:dyDescent="0.3">
      <c r="A9" s="32" t="s">
        <v>1105</v>
      </c>
      <c r="B9" s="20" t="s">
        <v>1106</v>
      </c>
      <c r="C9" s="20" t="s">
        <v>20</v>
      </c>
      <c r="D9" s="20" t="s">
        <v>31</v>
      </c>
      <c r="E9" s="20">
        <v>1</v>
      </c>
      <c r="F9" s="20" t="s">
        <v>1100</v>
      </c>
      <c r="G9" s="46">
        <v>58.00000000000027</v>
      </c>
      <c r="H9" s="41" t="s">
        <v>1472</v>
      </c>
      <c r="I9" s="44">
        <f>SUM(J9:AI9)</f>
        <v>44.383882352941164</v>
      </c>
      <c r="J9" s="33">
        <v>0.28529411764705881</v>
      </c>
      <c r="K9" s="33">
        <v>0.33941176470588236</v>
      </c>
      <c r="L9" s="33">
        <v>0.51317647058823523</v>
      </c>
      <c r="M9" s="43">
        <v>0</v>
      </c>
      <c r="N9" s="33">
        <v>0.10117647058823528</v>
      </c>
      <c r="O9" s="33">
        <v>11.309999999999999</v>
      </c>
      <c r="P9" s="33">
        <v>0</v>
      </c>
      <c r="Q9" s="33">
        <v>0</v>
      </c>
      <c r="R9" s="33">
        <v>0.70835294117647052</v>
      </c>
      <c r="S9" s="33">
        <v>0.11847058823529412</v>
      </c>
      <c r="T9" s="33">
        <v>3.9941176470588236</v>
      </c>
      <c r="U9" s="33">
        <v>0</v>
      </c>
      <c r="V9" s="33">
        <v>0</v>
      </c>
      <c r="W9" s="33">
        <v>9.466823529411764</v>
      </c>
      <c r="X9" s="33">
        <v>0.72576470588235287</v>
      </c>
      <c r="Y9" s="33">
        <v>14.41505882352941</v>
      </c>
      <c r="Z9" s="33">
        <v>0.84094117647058819</v>
      </c>
      <c r="AA9" s="33">
        <v>0.25788235294117645</v>
      </c>
      <c r="AB9" s="33">
        <v>0.69129411764705873</v>
      </c>
      <c r="AC9" s="43">
        <v>0</v>
      </c>
      <c r="AD9" s="33">
        <v>0.27188235294117641</v>
      </c>
      <c r="AE9" s="21">
        <v>9.611764705882353E-2</v>
      </c>
      <c r="AF9" s="33">
        <v>4.1058823529411759E-2</v>
      </c>
      <c r="AG9" s="33">
        <v>6.2588235294117639E-2</v>
      </c>
      <c r="AH9" s="33">
        <v>3.7647058823529413E-3</v>
      </c>
      <c r="AI9" s="33">
        <v>0.14070588235294118</v>
      </c>
    </row>
    <row r="10" spans="1:35" x14ac:dyDescent="0.3">
      <c r="A10" s="32" t="s">
        <v>1133</v>
      </c>
      <c r="B10" s="20" t="s">
        <v>1134</v>
      </c>
      <c r="C10" s="20" t="s">
        <v>146</v>
      </c>
      <c r="D10" s="20" t="s">
        <v>146</v>
      </c>
      <c r="E10" s="20">
        <v>1</v>
      </c>
      <c r="F10" s="20" t="s">
        <v>1100</v>
      </c>
      <c r="G10" s="46">
        <v>52.999999999999709</v>
      </c>
      <c r="H10" s="41" t="s">
        <v>1472</v>
      </c>
      <c r="I10" s="44">
        <f>SUM(J10:AI10)</f>
        <v>65.343999999999966</v>
      </c>
      <c r="J10" s="33">
        <v>0.44588235294117645</v>
      </c>
      <c r="K10" s="33">
        <v>0.72058823529411753</v>
      </c>
      <c r="L10" s="33">
        <v>1.5257647058823529</v>
      </c>
      <c r="M10" s="43">
        <v>0</v>
      </c>
      <c r="N10" s="33">
        <v>3.1603529411764701</v>
      </c>
      <c r="O10" s="33">
        <v>18.852705882352939</v>
      </c>
      <c r="P10" s="33">
        <v>0</v>
      </c>
      <c r="Q10" s="33">
        <v>0</v>
      </c>
      <c r="R10" s="33">
        <v>0.2024705882352941</v>
      </c>
      <c r="S10" s="33">
        <v>0.56894117647058817</v>
      </c>
      <c r="T10" s="33">
        <v>5.8945882352941172</v>
      </c>
      <c r="U10" s="33">
        <v>0</v>
      </c>
      <c r="V10" s="33">
        <v>0</v>
      </c>
      <c r="W10" s="33">
        <v>10.785882352941176</v>
      </c>
      <c r="X10" s="33">
        <v>0.68023529411764705</v>
      </c>
      <c r="Y10" s="33">
        <v>16.878588235294117</v>
      </c>
      <c r="Z10" s="33">
        <v>1.1631764705882353</v>
      </c>
      <c r="AA10" s="33">
        <v>1.0363529411764705</v>
      </c>
      <c r="AB10" s="33">
        <v>0.80552941176470583</v>
      </c>
      <c r="AC10" s="43">
        <v>0</v>
      </c>
      <c r="AD10" s="33">
        <v>1.3359999999999999</v>
      </c>
      <c r="AE10" s="21">
        <v>0.26011764705882351</v>
      </c>
      <c r="AF10" s="33">
        <v>3.964705882352941E-2</v>
      </c>
      <c r="AG10" s="33">
        <v>0.85329411764705876</v>
      </c>
      <c r="AH10" s="33">
        <v>1.8235294117647058E-2</v>
      </c>
      <c r="AI10" s="33">
        <v>0.11564705882352941</v>
      </c>
    </row>
    <row r="11" spans="1:35" x14ac:dyDescent="0.3">
      <c r="A11" s="32" t="s">
        <v>1135</v>
      </c>
      <c r="B11" s="20" t="s">
        <v>1136</v>
      </c>
      <c r="C11" s="20" t="s">
        <v>146</v>
      </c>
      <c r="D11" s="20" t="s">
        <v>149</v>
      </c>
      <c r="E11" s="20">
        <v>1</v>
      </c>
      <c r="F11" s="20" t="s">
        <v>1100</v>
      </c>
      <c r="G11" s="46">
        <v>49.500000000000099</v>
      </c>
      <c r="H11" s="41" t="s">
        <v>1472</v>
      </c>
      <c r="I11" s="44">
        <f>SUM(J11:AI11)</f>
        <v>79.551294117647046</v>
      </c>
      <c r="J11" s="33">
        <v>0.22152941176470586</v>
      </c>
      <c r="K11" s="33">
        <v>0.34647058823529409</v>
      </c>
      <c r="L11" s="33">
        <v>0.90635294117647047</v>
      </c>
      <c r="M11" s="43">
        <v>0</v>
      </c>
      <c r="N11" s="33">
        <v>1.802941176470588</v>
      </c>
      <c r="O11" s="33">
        <v>15.437764705882353</v>
      </c>
      <c r="P11" s="33">
        <v>0.18764705882352939</v>
      </c>
      <c r="Q11" s="33">
        <v>0.7176470588235293</v>
      </c>
      <c r="R11" s="33">
        <v>0.35811764705882349</v>
      </c>
      <c r="S11" s="33">
        <v>0.48741176470588232</v>
      </c>
      <c r="T11" s="33">
        <v>5.791294117647058</v>
      </c>
      <c r="U11" s="33">
        <v>0</v>
      </c>
      <c r="V11" s="33">
        <v>0</v>
      </c>
      <c r="W11" s="33">
        <v>34.764941176470586</v>
      </c>
      <c r="X11" s="33">
        <v>1.4552941176470588</v>
      </c>
      <c r="Y11" s="33">
        <v>13.885764705882352</v>
      </c>
      <c r="Z11" s="33">
        <v>0.96</v>
      </c>
      <c r="AA11" s="33">
        <v>0.43223529411764705</v>
      </c>
      <c r="AB11" s="33">
        <v>1.0109411764705882</v>
      </c>
      <c r="AC11" s="43">
        <v>0</v>
      </c>
      <c r="AD11" s="33">
        <v>0.39094117647058824</v>
      </c>
      <c r="AE11" s="21">
        <v>0.12870588235294117</v>
      </c>
      <c r="AF11" s="33">
        <v>5.0235294117647059E-2</v>
      </c>
      <c r="AG11" s="33">
        <v>6.8470588235294103E-2</v>
      </c>
      <c r="AH11" s="33">
        <v>1.1764705882352942E-4</v>
      </c>
      <c r="AI11" s="33">
        <v>0.1464705882352941</v>
      </c>
    </row>
    <row r="12" spans="1:35" x14ac:dyDescent="0.3">
      <c r="A12" s="32" t="s">
        <v>1131</v>
      </c>
      <c r="B12" s="20" t="s">
        <v>1132</v>
      </c>
      <c r="C12" s="20" t="s">
        <v>146</v>
      </c>
      <c r="D12" s="20" t="s">
        <v>145</v>
      </c>
      <c r="E12" s="20">
        <v>1</v>
      </c>
      <c r="F12" s="20" t="s">
        <v>1100</v>
      </c>
      <c r="G12" s="46">
        <v>49.000000000000149</v>
      </c>
      <c r="H12" s="41" t="s">
        <v>1472</v>
      </c>
      <c r="I12" s="44">
        <f>SUM(J12:AI12)</f>
        <v>52.461058823529406</v>
      </c>
      <c r="J12" s="33">
        <v>0.46599999999999997</v>
      </c>
      <c r="K12" s="33">
        <v>1.1718823529411764</v>
      </c>
      <c r="L12" s="33">
        <v>1.1905882352941175</v>
      </c>
      <c r="M12" s="43">
        <v>0</v>
      </c>
      <c r="N12" s="33">
        <v>2.3247058823529412</v>
      </c>
      <c r="O12" s="33">
        <v>12.844352941176469</v>
      </c>
      <c r="P12" s="33">
        <v>0</v>
      </c>
      <c r="Q12" s="33">
        <v>0</v>
      </c>
      <c r="R12" s="33">
        <v>0.25752941176470584</v>
      </c>
      <c r="S12" s="33">
        <v>0.57999999999999996</v>
      </c>
      <c r="T12" s="33">
        <v>4.9302352941176464</v>
      </c>
      <c r="U12" s="33">
        <v>0</v>
      </c>
      <c r="V12" s="33">
        <v>0</v>
      </c>
      <c r="W12" s="33">
        <v>10.249176470588234</v>
      </c>
      <c r="X12" s="33">
        <v>0.83388235294117641</v>
      </c>
      <c r="Y12" s="33">
        <v>14.361411764705881</v>
      </c>
      <c r="Z12" s="33">
        <v>0.91788235294117648</v>
      </c>
      <c r="AA12" s="33">
        <v>0.37917647058823528</v>
      </c>
      <c r="AB12" s="33">
        <v>1.0482352941176469</v>
      </c>
      <c r="AC12" s="43">
        <v>0</v>
      </c>
      <c r="AD12" s="33">
        <v>0.42223529411764699</v>
      </c>
      <c r="AE12" s="21">
        <v>0.14682352941176469</v>
      </c>
      <c r="AF12" s="33">
        <v>6.6117647058823531E-2</v>
      </c>
      <c r="AG12" s="33">
        <v>6.9882352941176465E-2</v>
      </c>
      <c r="AH12" s="33">
        <v>3.1294117647058819E-2</v>
      </c>
      <c r="AI12" s="33">
        <v>0.1696470588235294</v>
      </c>
    </row>
    <row r="13" spans="1:35" x14ac:dyDescent="0.3">
      <c r="A13" s="32" t="s">
        <v>1137</v>
      </c>
      <c r="B13" s="20" t="s">
        <v>1138</v>
      </c>
      <c r="C13" s="20" t="s">
        <v>146</v>
      </c>
      <c r="D13" s="20" t="s">
        <v>143</v>
      </c>
      <c r="E13" s="20">
        <v>1</v>
      </c>
      <c r="F13" s="20" t="s">
        <v>1100</v>
      </c>
      <c r="G13" s="46">
        <v>64.999999999999503</v>
      </c>
      <c r="H13" s="41" t="s">
        <v>1472</v>
      </c>
      <c r="I13" s="44">
        <f>SUM(J13:AI13)</f>
        <v>76.261529411764712</v>
      </c>
      <c r="J13" s="33">
        <v>0.23317647058823529</v>
      </c>
      <c r="K13" s="33">
        <v>0.31752941176470584</v>
      </c>
      <c r="L13" s="33">
        <v>1.1175294117647059</v>
      </c>
      <c r="M13" s="43">
        <v>0</v>
      </c>
      <c r="N13" s="33">
        <v>1.7205882352941173</v>
      </c>
      <c r="O13" s="33">
        <v>20.25635294117647</v>
      </c>
      <c r="P13" s="33">
        <v>5.8823529411764701E-4</v>
      </c>
      <c r="Q13" s="33">
        <v>1.9176470588235291E-2</v>
      </c>
      <c r="R13" s="33">
        <v>0.97588235294117631</v>
      </c>
      <c r="S13" s="33">
        <v>0.50941176470588234</v>
      </c>
      <c r="T13" s="33">
        <v>7.2544705882352938</v>
      </c>
      <c r="U13" s="33">
        <v>0</v>
      </c>
      <c r="V13" s="33">
        <v>0</v>
      </c>
      <c r="W13" s="33">
        <v>13.154117647058824</v>
      </c>
      <c r="X13" s="33">
        <v>1.4270588235294117</v>
      </c>
      <c r="Y13" s="33">
        <v>21.947882352941175</v>
      </c>
      <c r="Z13" s="33">
        <v>1.2762352941176469</v>
      </c>
      <c r="AA13" s="33">
        <v>0.38023529411764706</v>
      </c>
      <c r="AB13" s="33">
        <v>4.4174117647058821</v>
      </c>
      <c r="AC13" s="43">
        <v>0</v>
      </c>
      <c r="AD13" s="33">
        <v>0.40294117647058825</v>
      </c>
      <c r="AE13" s="21">
        <v>0.114</v>
      </c>
      <c r="AF13" s="33">
        <v>0.14082352941176468</v>
      </c>
      <c r="AG13" s="33">
        <v>0.13105882352941176</v>
      </c>
      <c r="AH13" s="33">
        <v>0.11329411764705881</v>
      </c>
      <c r="AI13" s="33">
        <v>0.35176470588235292</v>
      </c>
    </row>
    <row r="14" spans="1:35" x14ac:dyDescent="0.3">
      <c r="A14" s="32" t="s">
        <v>1167</v>
      </c>
      <c r="B14" s="20" t="s">
        <v>1168</v>
      </c>
      <c r="C14" s="20" t="s">
        <v>261</v>
      </c>
      <c r="D14" s="20" t="s">
        <v>264</v>
      </c>
      <c r="E14" s="20">
        <v>1</v>
      </c>
      <c r="F14" s="20" t="s">
        <v>1100</v>
      </c>
      <c r="G14" s="46">
        <v>42.999999999999702</v>
      </c>
      <c r="H14" s="41" t="s">
        <v>1472</v>
      </c>
      <c r="I14" s="44">
        <f>SUM(J14:AI14)</f>
        <v>129.60258823529415</v>
      </c>
      <c r="J14" s="33">
        <v>0.31199999999999994</v>
      </c>
      <c r="K14" s="33">
        <v>0.60682352941176465</v>
      </c>
      <c r="L14" s="33">
        <v>3.1987058823529413</v>
      </c>
      <c r="M14" s="43">
        <v>0</v>
      </c>
      <c r="N14" s="33">
        <v>2.0918823529411763</v>
      </c>
      <c r="O14" s="33">
        <v>39.265058823529408</v>
      </c>
      <c r="P14" s="33">
        <v>0</v>
      </c>
      <c r="Q14" s="33">
        <v>0</v>
      </c>
      <c r="R14" s="33">
        <v>2.0552941176470587</v>
      </c>
      <c r="S14" s="33">
        <v>0.75882352941176467</v>
      </c>
      <c r="T14" s="33">
        <v>8.4269411764705868</v>
      </c>
      <c r="U14" s="33">
        <v>0</v>
      </c>
      <c r="V14" s="33">
        <v>0</v>
      </c>
      <c r="W14" s="33">
        <v>23.714235294117643</v>
      </c>
      <c r="X14" s="33">
        <v>2.5055294117647056</v>
      </c>
      <c r="Y14" s="33">
        <v>42.061411764705881</v>
      </c>
      <c r="Z14" s="33">
        <v>2.6372941176470586</v>
      </c>
      <c r="AA14" s="33">
        <v>0.46270588235294108</v>
      </c>
      <c r="AB14" s="33">
        <v>0.59317647058823519</v>
      </c>
      <c r="AC14" s="43">
        <v>0</v>
      </c>
      <c r="AD14" s="33">
        <v>0.45399999999999996</v>
      </c>
      <c r="AE14" s="21">
        <v>0.11529411764705881</v>
      </c>
      <c r="AF14" s="33">
        <v>6.4235294117647043E-2</v>
      </c>
      <c r="AG14" s="33">
        <v>8.8235294117647051E-2</v>
      </c>
      <c r="AH14" s="33">
        <v>7.2470588235294106E-2</v>
      </c>
      <c r="AI14" s="33">
        <v>0.11847058823529412</v>
      </c>
    </row>
    <row r="15" spans="1:35" x14ac:dyDescent="0.3">
      <c r="A15" s="32" t="s">
        <v>1169</v>
      </c>
      <c r="B15" s="20" t="s">
        <v>1170</v>
      </c>
      <c r="C15" s="20" t="s">
        <v>261</v>
      </c>
      <c r="D15" s="20" t="s">
        <v>266</v>
      </c>
      <c r="E15" s="20">
        <v>1</v>
      </c>
      <c r="F15" s="20" t="s">
        <v>1100</v>
      </c>
      <c r="G15" s="46">
        <v>35.499999999999417</v>
      </c>
      <c r="H15" s="41" t="s">
        <v>1472</v>
      </c>
      <c r="I15" s="44">
        <f>SUM(J15:AI15)</f>
        <v>94.051176470588246</v>
      </c>
      <c r="J15" s="33">
        <v>0.34588235294117642</v>
      </c>
      <c r="K15" s="33">
        <v>0.70223529411764696</v>
      </c>
      <c r="L15" s="33">
        <v>2.6305882352941174</v>
      </c>
      <c r="M15" s="43">
        <v>0</v>
      </c>
      <c r="N15" s="33">
        <v>1.7263529411764706</v>
      </c>
      <c r="O15" s="33">
        <v>29.250823529411765</v>
      </c>
      <c r="P15" s="33">
        <v>0.62588235294117633</v>
      </c>
      <c r="Q15" s="33">
        <v>0.60282352941176465</v>
      </c>
      <c r="R15" s="33">
        <v>0.44529411764705878</v>
      </c>
      <c r="S15" s="33">
        <v>0.6475294117647058</v>
      </c>
      <c r="T15" s="33">
        <v>9.2843529411764703</v>
      </c>
      <c r="U15" s="33">
        <v>0</v>
      </c>
      <c r="V15" s="33">
        <v>0</v>
      </c>
      <c r="W15" s="33">
        <v>18.398352941176469</v>
      </c>
      <c r="X15" s="33">
        <v>1.8067058823529412</v>
      </c>
      <c r="Y15" s="33">
        <v>22.393176470588234</v>
      </c>
      <c r="Z15" s="33">
        <v>1.3496470588235294</v>
      </c>
      <c r="AA15" s="33">
        <v>0.36952941176470588</v>
      </c>
      <c r="AB15" s="33">
        <v>2.3524705882352941</v>
      </c>
      <c r="AC15" s="43">
        <v>0</v>
      </c>
      <c r="AD15" s="33">
        <v>0.37776470588235289</v>
      </c>
      <c r="AE15" s="21">
        <v>0.114</v>
      </c>
      <c r="AF15" s="33">
        <v>7.5529411764705887E-2</v>
      </c>
      <c r="AG15" s="33">
        <v>0.21647058823529411</v>
      </c>
      <c r="AH15" s="33">
        <v>6.023529411764706E-2</v>
      </c>
      <c r="AI15" s="33">
        <v>0.27552941176470586</v>
      </c>
    </row>
    <row r="16" spans="1:35" x14ac:dyDescent="0.3">
      <c r="A16" s="32" t="s">
        <v>1161</v>
      </c>
      <c r="B16" s="20" t="s">
        <v>1162</v>
      </c>
      <c r="C16" s="20" t="s">
        <v>261</v>
      </c>
      <c r="D16" s="20" t="s">
        <v>268</v>
      </c>
      <c r="E16" s="20">
        <v>1</v>
      </c>
      <c r="F16" s="20" t="s">
        <v>1100</v>
      </c>
      <c r="G16" s="46">
        <v>38.000000000000256</v>
      </c>
      <c r="H16" s="41" t="s">
        <v>1472</v>
      </c>
      <c r="I16" s="44">
        <f>SUM(J16:AI16)</f>
        <v>86.68847058823529</v>
      </c>
      <c r="J16" s="33">
        <v>0.26105882352941179</v>
      </c>
      <c r="K16" s="33">
        <v>0.38894117647058818</v>
      </c>
      <c r="L16" s="33">
        <v>2.5611764705882352</v>
      </c>
      <c r="M16" s="43">
        <v>0</v>
      </c>
      <c r="N16" s="33">
        <v>0.87188235294117633</v>
      </c>
      <c r="O16" s="33">
        <v>28.465647058823524</v>
      </c>
      <c r="P16" s="33">
        <v>3.2823529411764703E-2</v>
      </c>
      <c r="Q16" s="33">
        <v>5.3999999999999999E-2</v>
      </c>
      <c r="R16" s="33">
        <v>0.97376470588235287</v>
      </c>
      <c r="S16" s="33">
        <v>0.64011764705882346</v>
      </c>
      <c r="T16" s="33">
        <v>7.0288235294117642</v>
      </c>
      <c r="U16" s="33">
        <v>0</v>
      </c>
      <c r="V16" s="33">
        <v>0</v>
      </c>
      <c r="W16" s="33">
        <v>14.625411764705882</v>
      </c>
      <c r="X16" s="33">
        <v>2.2083529411764702</v>
      </c>
      <c r="Y16" s="33">
        <v>25.094823529411762</v>
      </c>
      <c r="Z16" s="33">
        <v>1.5754117647058823</v>
      </c>
      <c r="AA16" s="33">
        <v>0.29999999999999993</v>
      </c>
      <c r="AB16" s="33">
        <v>0.74258823529411755</v>
      </c>
      <c r="AC16" s="43">
        <v>0</v>
      </c>
      <c r="AD16" s="33">
        <v>0.34094117647058819</v>
      </c>
      <c r="AE16" s="21">
        <v>9.2352941176470568E-2</v>
      </c>
      <c r="AF16" s="33">
        <v>4.3411764705882351E-2</v>
      </c>
      <c r="AG16" s="33">
        <v>0.20094117647058823</v>
      </c>
      <c r="AH16" s="33">
        <v>6.6470588235294115E-2</v>
      </c>
      <c r="AI16" s="33">
        <v>0.11952941176470588</v>
      </c>
    </row>
    <row r="17" spans="1:35" x14ac:dyDescent="0.3">
      <c r="A17" s="32" t="s">
        <v>1163</v>
      </c>
      <c r="B17" s="20" t="s">
        <v>1164</v>
      </c>
      <c r="C17" s="20" t="s">
        <v>261</v>
      </c>
      <c r="D17" s="20" t="s">
        <v>270</v>
      </c>
      <c r="E17" s="20">
        <v>1</v>
      </c>
      <c r="F17" s="20" t="s">
        <v>1100</v>
      </c>
      <c r="G17" s="46">
        <v>55.000000000000604</v>
      </c>
      <c r="H17" s="41" t="s">
        <v>1472</v>
      </c>
      <c r="I17" s="44">
        <f>SUM(J17:AI17)</f>
        <v>93.073882352941169</v>
      </c>
      <c r="J17" s="33">
        <v>0.22788235294117642</v>
      </c>
      <c r="K17" s="33">
        <v>0.47247058823529409</v>
      </c>
      <c r="L17" s="33">
        <v>1.3868235294117646</v>
      </c>
      <c r="M17" s="43">
        <v>0</v>
      </c>
      <c r="N17" s="33">
        <v>0.74517647058823511</v>
      </c>
      <c r="O17" s="33">
        <v>21.663411764705881</v>
      </c>
      <c r="P17" s="33">
        <v>0</v>
      </c>
      <c r="Q17" s="33">
        <v>0</v>
      </c>
      <c r="R17" s="33">
        <v>0.25858823529411762</v>
      </c>
      <c r="S17" s="33">
        <v>0.40670588235294108</v>
      </c>
      <c r="T17" s="33">
        <v>6.0151764705882353</v>
      </c>
      <c r="U17" s="33">
        <v>0</v>
      </c>
      <c r="V17" s="33">
        <v>0</v>
      </c>
      <c r="W17" s="33">
        <v>16.991882352941175</v>
      </c>
      <c r="X17" s="33">
        <v>1.3943529411764706</v>
      </c>
      <c r="Y17" s="33">
        <v>38.818941176470581</v>
      </c>
      <c r="Z17" s="33">
        <v>2.7690588235294116</v>
      </c>
      <c r="AA17" s="33">
        <v>0.57941176470588229</v>
      </c>
      <c r="AB17" s="33">
        <v>0.33341176470588235</v>
      </c>
      <c r="AC17" s="43">
        <v>0</v>
      </c>
      <c r="AD17" s="33">
        <v>0.63811764705882346</v>
      </c>
      <c r="AE17" s="21">
        <v>0.15564705882352942</v>
      </c>
      <c r="AF17" s="33">
        <v>2.0117647058823528E-2</v>
      </c>
      <c r="AG17" s="33">
        <v>9.7647058823529406E-2</v>
      </c>
      <c r="AH17" s="33">
        <v>2.7058823529411764E-2</v>
      </c>
      <c r="AI17" s="33">
        <v>7.1999999999999995E-2</v>
      </c>
    </row>
    <row r="18" spans="1:35" x14ac:dyDescent="0.3">
      <c r="A18" s="32" t="s">
        <v>1165</v>
      </c>
      <c r="B18" s="20" t="s">
        <v>1166</v>
      </c>
      <c r="C18" s="20" t="s">
        <v>261</v>
      </c>
      <c r="D18" s="20" t="s">
        <v>272</v>
      </c>
      <c r="E18" s="20">
        <v>1</v>
      </c>
      <c r="F18" s="20" t="s">
        <v>1100</v>
      </c>
      <c r="G18" s="46">
        <v>36.999999999999254</v>
      </c>
      <c r="H18" s="41" t="s">
        <v>1472</v>
      </c>
      <c r="I18" s="44">
        <f>SUM(J18:AI18)</f>
        <v>87.943882352941145</v>
      </c>
      <c r="J18" s="33">
        <v>0.23623529411764704</v>
      </c>
      <c r="K18" s="33">
        <v>0.54705882352941171</v>
      </c>
      <c r="L18" s="33">
        <v>1.9208235294117646</v>
      </c>
      <c r="M18" s="43">
        <v>0</v>
      </c>
      <c r="N18" s="33">
        <v>1.1269411764705881</v>
      </c>
      <c r="O18" s="33">
        <v>21.933294117647058</v>
      </c>
      <c r="P18" s="33">
        <v>0.27999999999999997</v>
      </c>
      <c r="Q18" s="33">
        <v>0.83858823529411752</v>
      </c>
      <c r="R18" s="33">
        <v>0.47682352941176465</v>
      </c>
      <c r="S18" s="33">
        <v>0.82152941176470584</v>
      </c>
      <c r="T18" s="33">
        <v>6.4182352941176459</v>
      </c>
      <c r="U18" s="33">
        <v>0</v>
      </c>
      <c r="V18" s="33">
        <v>0</v>
      </c>
      <c r="W18" s="33">
        <v>26.807882352941174</v>
      </c>
      <c r="X18" s="33">
        <v>2.1609411764705881</v>
      </c>
      <c r="Y18" s="33">
        <v>21.30929411764706</v>
      </c>
      <c r="Z18" s="33">
        <v>1.3849411764705881</v>
      </c>
      <c r="AA18" s="33">
        <v>0.39305882352941174</v>
      </c>
      <c r="AB18" s="33">
        <v>0.56694117647058817</v>
      </c>
      <c r="AC18" s="43">
        <v>0</v>
      </c>
      <c r="AD18" s="33">
        <v>0.36705882352941172</v>
      </c>
      <c r="AE18" s="21">
        <v>0.11588235294117645</v>
      </c>
      <c r="AF18" s="33">
        <v>4.1294117647058821E-2</v>
      </c>
      <c r="AG18" s="33">
        <v>6.1647058823529402E-2</v>
      </c>
      <c r="AH18" s="33">
        <v>1.0470588235294117E-2</v>
      </c>
      <c r="AI18" s="33">
        <v>0.12494117647058822</v>
      </c>
    </row>
    <row r="19" spans="1:35" x14ac:dyDescent="0.3">
      <c r="A19" s="32" t="s">
        <v>1117</v>
      </c>
      <c r="B19" s="20" t="s">
        <v>1118</v>
      </c>
      <c r="C19" s="20" t="s">
        <v>20</v>
      </c>
      <c r="D19" s="20" t="s">
        <v>33</v>
      </c>
      <c r="E19" s="20">
        <v>2</v>
      </c>
      <c r="F19" s="20" t="s">
        <v>1100</v>
      </c>
      <c r="G19" s="46">
        <v>45.00000000000059</v>
      </c>
      <c r="H19" s="41" t="s">
        <v>1472</v>
      </c>
      <c r="I19" s="44">
        <f>SUM(J19:AI19)</f>
        <v>39.756705882352939</v>
      </c>
      <c r="J19" s="33">
        <v>0.24494117647058825</v>
      </c>
      <c r="K19" s="33">
        <v>0.27188235294117641</v>
      </c>
      <c r="L19" s="33">
        <v>0.32858823529411763</v>
      </c>
      <c r="M19" s="43">
        <v>0</v>
      </c>
      <c r="N19" s="33">
        <v>9.4941176470588237E-2</v>
      </c>
      <c r="O19" s="33">
        <v>9.4903529411764698</v>
      </c>
      <c r="P19" s="33">
        <v>0</v>
      </c>
      <c r="Q19" s="33">
        <v>0</v>
      </c>
      <c r="R19" s="33">
        <v>0.30341176470588233</v>
      </c>
      <c r="S19" s="33">
        <v>0.13552941176470587</v>
      </c>
      <c r="T19" s="33">
        <v>4.244470588235294</v>
      </c>
      <c r="U19" s="33">
        <v>0</v>
      </c>
      <c r="V19" s="33">
        <v>0</v>
      </c>
      <c r="W19" s="33">
        <v>7.4739999999999993</v>
      </c>
      <c r="X19" s="33">
        <v>0.57670588235294118</v>
      </c>
      <c r="Y19" s="33">
        <v>13.759294117647057</v>
      </c>
      <c r="Z19" s="33">
        <v>0.94211764705882339</v>
      </c>
      <c r="AA19" s="33">
        <v>0.29917647058823527</v>
      </c>
      <c r="AB19" s="33">
        <v>0.79423529411764704</v>
      </c>
      <c r="AC19" s="43">
        <v>0</v>
      </c>
      <c r="AD19" s="33">
        <v>0.34564705882352936</v>
      </c>
      <c r="AE19" s="21">
        <v>0.10117647058823528</v>
      </c>
      <c r="AF19" s="33">
        <v>3.8823529411764701E-2</v>
      </c>
      <c r="AG19" s="33">
        <v>0.13741176470588234</v>
      </c>
      <c r="AH19" s="33">
        <v>2.5176470588235293E-2</v>
      </c>
      <c r="AI19" s="33">
        <v>0.14882352941176469</v>
      </c>
    </row>
    <row r="20" spans="1:35" x14ac:dyDescent="0.3">
      <c r="A20" s="32" t="s">
        <v>1119</v>
      </c>
      <c r="B20" s="20" t="s">
        <v>1120</v>
      </c>
      <c r="C20" s="20" t="s">
        <v>20</v>
      </c>
      <c r="D20" s="20" t="s">
        <v>35</v>
      </c>
      <c r="E20" s="20">
        <v>2</v>
      </c>
      <c r="F20" s="20" t="s">
        <v>1100</v>
      </c>
      <c r="G20" s="46">
        <v>51.999999999999822</v>
      </c>
      <c r="H20" s="41" t="s">
        <v>1472</v>
      </c>
      <c r="I20" s="44">
        <f>SUM(J20:AI20)</f>
        <v>26.628823529411765</v>
      </c>
      <c r="J20" s="33">
        <v>0.19129411764705881</v>
      </c>
      <c r="K20" s="33">
        <v>0.19141176470588234</v>
      </c>
      <c r="L20" s="33">
        <v>0.22341176470588234</v>
      </c>
      <c r="M20" s="43">
        <v>0</v>
      </c>
      <c r="N20" s="33">
        <v>7.3294117647058815E-2</v>
      </c>
      <c r="O20" s="33">
        <v>6.4292941176470588</v>
      </c>
      <c r="P20" s="33">
        <v>0</v>
      </c>
      <c r="Q20" s="33">
        <v>0</v>
      </c>
      <c r="R20" s="33">
        <v>0.19152941176470586</v>
      </c>
      <c r="S20" s="33">
        <v>9.9647058823529408E-2</v>
      </c>
      <c r="T20" s="33">
        <v>3.38</v>
      </c>
      <c r="U20" s="33">
        <v>0</v>
      </c>
      <c r="V20" s="33">
        <v>0</v>
      </c>
      <c r="W20" s="33">
        <v>4.5590588235294112</v>
      </c>
      <c r="X20" s="33">
        <v>0.34247058823529408</v>
      </c>
      <c r="Y20" s="33">
        <v>9.0417647058823523</v>
      </c>
      <c r="Z20" s="33">
        <v>0.6109411764705881</v>
      </c>
      <c r="AA20" s="33">
        <v>0.18388235294117647</v>
      </c>
      <c r="AB20" s="33">
        <v>0.59752941176470586</v>
      </c>
      <c r="AC20" s="43">
        <v>0</v>
      </c>
      <c r="AD20" s="33">
        <v>0.22023529411764706</v>
      </c>
      <c r="AE20" s="21">
        <v>6.4235294117647043E-2</v>
      </c>
      <c r="AF20" s="33">
        <v>3.7411764705882353E-2</v>
      </c>
      <c r="AG20" s="33">
        <v>7.588235294117647E-2</v>
      </c>
      <c r="AH20" s="33">
        <v>1.1764705882352941E-2</v>
      </c>
      <c r="AI20" s="33">
        <v>0.10376470588235293</v>
      </c>
    </row>
    <row r="21" spans="1:35" x14ac:dyDescent="0.3">
      <c r="A21" s="32" t="s">
        <v>1111</v>
      </c>
      <c r="B21" s="20" t="s">
        <v>1112</v>
      </c>
      <c r="C21" s="20" t="s">
        <v>20</v>
      </c>
      <c r="D21" s="20" t="s">
        <v>37</v>
      </c>
      <c r="E21" s="20">
        <v>2</v>
      </c>
      <c r="F21" s="20" t="s">
        <v>1100</v>
      </c>
      <c r="G21" s="46">
        <v>28.500000000000192</v>
      </c>
      <c r="H21" s="41" t="s">
        <v>1472</v>
      </c>
      <c r="I21" s="44">
        <f>SUM(J21:AI21)</f>
        <v>56.372705882352946</v>
      </c>
      <c r="J21" s="33">
        <v>0.26388235294117646</v>
      </c>
      <c r="K21" s="33">
        <v>0.61505882352941177</v>
      </c>
      <c r="L21" s="33">
        <v>0.48247058823529404</v>
      </c>
      <c r="M21" s="43">
        <v>0</v>
      </c>
      <c r="N21" s="33">
        <v>9.458823529411764E-2</v>
      </c>
      <c r="O21" s="33">
        <v>12.405411764705882</v>
      </c>
      <c r="P21" s="33">
        <v>0.15611764705882353</v>
      </c>
      <c r="Q21" s="33">
        <v>0.26635294117647057</v>
      </c>
      <c r="R21" s="33">
        <v>0.61152941176470577</v>
      </c>
      <c r="S21" s="33">
        <v>0.14564705882352941</v>
      </c>
      <c r="T21" s="33">
        <v>5.157647058823529</v>
      </c>
      <c r="U21" s="33">
        <v>0</v>
      </c>
      <c r="V21" s="33">
        <v>0</v>
      </c>
      <c r="W21" s="33">
        <v>14.987882352941176</v>
      </c>
      <c r="X21" s="33">
        <v>1.0014117647058822</v>
      </c>
      <c r="Y21" s="33">
        <v>16.915529411764705</v>
      </c>
      <c r="Z21" s="33">
        <v>0.94941176470588218</v>
      </c>
      <c r="AA21" s="33">
        <v>0.25082352941176467</v>
      </c>
      <c r="AB21" s="33">
        <v>1.3417647058823527</v>
      </c>
      <c r="AC21" s="43">
        <v>0</v>
      </c>
      <c r="AD21" s="33">
        <v>0.27823529411764703</v>
      </c>
      <c r="AE21" s="21">
        <v>8.8823529411764704E-2</v>
      </c>
      <c r="AF21" s="33">
        <v>7.7882352941176458E-2</v>
      </c>
      <c r="AG21" s="33">
        <v>4.6588235294117646E-2</v>
      </c>
      <c r="AH21" s="33">
        <v>1.7999999999999999E-2</v>
      </c>
      <c r="AI21" s="33">
        <v>0.21764705882352939</v>
      </c>
    </row>
    <row r="22" spans="1:35" x14ac:dyDescent="0.3">
      <c r="A22" s="32" t="s">
        <v>1113</v>
      </c>
      <c r="B22" s="20" t="s">
        <v>1114</v>
      </c>
      <c r="C22" s="20" t="s">
        <v>20</v>
      </c>
      <c r="D22" s="20" t="s">
        <v>39</v>
      </c>
      <c r="E22" s="20">
        <v>2</v>
      </c>
      <c r="F22" s="20" t="s">
        <v>1100</v>
      </c>
      <c r="G22" s="46">
        <v>57.000000000000384</v>
      </c>
      <c r="H22" s="41" t="s">
        <v>1472</v>
      </c>
      <c r="I22" s="44">
        <f>SUM(J22:AI22)</f>
        <v>40.466588235294111</v>
      </c>
      <c r="J22" s="33">
        <v>0.56799999999999995</v>
      </c>
      <c r="K22" s="33">
        <v>0.87282352941176466</v>
      </c>
      <c r="L22" s="33">
        <v>0.52047058823529413</v>
      </c>
      <c r="M22" s="43">
        <v>0</v>
      </c>
      <c r="N22" s="33">
        <v>0.10317647058823529</v>
      </c>
      <c r="O22" s="33">
        <v>10.137294117647059</v>
      </c>
      <c r="P22" s="33">
        <v>0</v>
      </c>
      <c r="Q22" s="33">
        <v>0</v>
      </c>
      <c r="R22" s="33">
        <v>0.62047058823529411</v>
      </c>
      <c r="S22" s="33">
        <v>0.14058823529411765</v>
      </c>
      <c r="T22" s="33">
        <v>4.3011764705882349</v>
      </c>
      <c r="U22" s="33">
        <v>0</v>
      </c>
      <c r="V22" s="33">
        <v>0</v>
      </c>
      <c r="W22" s="33">
        <v>7.5769411764705872</v>
      </c>
      <c r="X22" s="33">
        <v>0.58576470588235285</v>
      </c>
      <c r="Y22" s="33">
        <v>12.432588235294116</v>
      </c>
      <c r="Z22" s="33">
        <v>0.71882352941176464</v>
      </c>
      <c r="AA22" s="33">
        <v>0.31917647058823528</v>
      </c>
      <c r="AB22" s="33">
        <v>0.73552941176470588</v>
      </c>
      <c r="AC22" s="43">
        <v>0</v>
      </c>
      <c r="AD22" s="33">
        <v>0.34105882352941169</v>
      </c>
      <c r="AE22" s="21">
        <v>0.10211764705882352</v>
      </c>
      <c r="AF22" s="33">
        <v>4.270588235294117E-2</v>
      </c>
      <c r="AG22" s="33">
        <v>0.18729411764705881</v>
      </c>
      <c r="AH22" s="33">
        <v>1.1764705882352942E-4</v>
      </c>
      <c r="AI22" s="33">
        <v>0.16047058823529409</v>
      </c>
    </row>
    <row r="23" spans="1:35" x14ac:dyDescent="0.3">
      <c r="A23" s="32" t="s">
        <v>1115</v>
      </c>
      <c r="B23" s="20" t="s">
        <v>1116</v>
      </c>
      <c r="C23" s="20" t="s">
        <v>20</v>
      </c>
      <c r="D23" s="20" t="s">
        <v>41</v>
      </c>
      <c r="E23" s="20">
        <v>2</v>
      </c>
      <c r="F23" s="20" t="s">
        <v>1100</v>
      </c>
      <c r="G23" s="46">
        <v>50.000000000000043</v>
      </c>
      <c r="H23" s="41" t="s">
        <v>1472</v>
      </c>
      <c r="I23" s="44">
        <f>SUM(J23:AI23)</f>
        <v>50.765294117647045</v>
      </c>
      <c r="J23" s="33">
        <v>0.21352941176470586</v>
      </c>
      <c r="K23" s="33">
        <v>0.35776470588235293</v>
      </c>
      <c r="L23" s="33">
        <v>0.58282352941176463</v>
      </c>
      <c r="M23" s="43">
        <v>0</v>
      </c>
      <c r="N23" s="33">
        <v>8.199999999999999E-2</v>
      </c>
      <c r="O23" s="33">
        <v>11.526823529411764</v>
      </c>
      <c r="P23" s="33">
        <v>5.0823529411764705E-2</v>
      </c>
      <c r="Q23" s="33">
        <v>0.10329411764705881</v>
      </c>
      <c r="R23" s="33">
        <v>1.0655294117647058</v>
      </c>
      <c r="S23" s="33">
        <v>0.12729411764705881</v>
      </c>
      <c r="T23" s="33">
        <v>4.7454117647058816</v>
      </c>
      <c r="U23" s="33">
        <v>0</v>
      </c>
      <c r="V23" s="33">
        <v>0</v>
      </c>
      <c r="W23" s="33">
        <v>12.779058823529411</v>
      </c>
      <c r="X23" s="33">
        <v>0.89341176470588224</v>
      </c>
      <c r="Y23" s="33">
        <v>15.217764705882351</v>
      </c>
      <c r="Z23" s="33">
        <v>0.90964705882352936</v>
      </c>
      <c r="AA23" s="33">
        <v>0.38105882352941178</v>
      </c>
      <c r="AB23" s="33">
        <v>0.85952941176470576</v>
      </c>
      <c r="AC23" s="43">
        <v>0</v>
      </c>
      <c r="AD23" s="33">
        <v>0.36541176470588232</v>
      </c>
      <c r="AE23" s="21">
        <v>0.11941176470588233</v>
      </c>
      <c r="AF23" s="33">
        <v>5.2117647058823525E-2</v>
      </c>
      <c r="AG23" s="33">
        <v>0.11835294117647058</v>
      </c>
      <c r="AH23" s="33">
        <v>1.9764705882352941E-2</v>
      </c>
      <c r="AI23" s="33">
        <v>0.19447058823529409</v>
      </c>
    </row>
    <row r="24" spans="1:35" x14ac:dyDescent="0.3">
      <c r="A24" s="32" t="s">
        <v>1141</v>
      </c>
      <c r="B24" s="20" t="s">
        <v>1142</v>
      </c>
      <c r="C24" s="20" t="s">
        <v>146</v>
      </c>
      <c r="D24" s="20" t="s">
        <v>157</v>
      </c>
      <c r="E24" s="20">
        <v>2</v>
      </c>
      <c r="F24" s="20" t="s">
        <v>1100</v>
      </c>
      <c r="G24" s="46">
        <v>28.999999999999027</v>
      </c>
      <c r="H24" s="41" t="s">
        <v>1472</v>
      </c>
      <c r="I24" s="44">
        <f>SUM(J24:AI24)</f>
        <v>54.131294117647052</v>
      </c>
      <c r="J24" s="33">
        <v>0.48341176470588232</v>
      </c>
      <c r="K24" s="33">
        <v>1.022</v>
      </c>
      <c r="L24" s="33">
        <v>2.014470588235294</v>
      </c>
      <c r="M24" s="43">
        <v>0</v>
      </c>
      <c r="N24" s="33">
        <v>4.0274117647058825</v>
      </c>
      <c r="O24" s="33">
        <v>18.436470588235292</v>
      </c>
      <c r="P24" s="33">
        <v>6.4352941176470585E-2</v>
      </c>
      <c r="Q24" s="33">
        <v>0</v>
      </c>
      <c r="R24" s="33">
        <v>0.19964705882352937</v>
      </c>
      <c r="S24" s="33">
        <v>0.65647058823529414</v>
      </c>
      <c r="T24" s="33">
        <v>5.1841176470588231</v>
      </c>
      <c r="U24" s="33">
        <v>0</v>
      </c>
      <c r="V24" s="33">
        <v>0</v>
      </c>
      <c r="W24" s="33">
        <v>7.9268235294117648</v>
      </c>
      <c r="X24" s="33">
        <v>0.62635294117647056</v>
      </c>
      <c r="Y24" s="33">
        <v>10.49141176470588</v>
      </c>
      <c r="Z24" s="33">
        <v>0.71647058823529408</v>
      </c>
      <c r="AA24" s="33">
        <v>0.4612941176470588</v>
      </c>
      <c r="AB24" s="33">
        <v>0.78211764705882347</v>
      </c>
      <c r="AC24" s="43">
        <v>0</v>
      </c>
      <c r="AD24" s="33">
        <v>0.5235294117647058</v>
      </c>
      <c r="AE24" s="21">
        <v>0.14317647058823529</v>
      </c>
      <c r="AF24" s="33">
        <v>3.2000000000000001E-2</v>
      </c>
      <c r="AG24" s="33">
        <v>0.21447058823529411</v>
      </c>
      <c r="AH24" s="33">
        <v>2.2941176470588232E-2</v>
      </c>
      <c r="AI24" s="33">
        <v>0.10235294117647058</v>
      </c>
    </row>
    <row r="25" spans="1:35" x14ac:dyDescent="0.3">
      <c r="A25" s="32" t="s">
        <v>1143</v>
      </c>
      <c r="B25" s="20" t="s">
        <v>1144</v>
      </c>
      <c r="C25" s="20" t="s">
        <v>146</v>
      </c>
      <c r="D25" s="20" t="s">
        <v>159</v>
      </c>
      <c r="E25" s="20">
        <v>2</v>
      </c>
      <c r="F25" s="20" t="s">
        <v>1100</v>
      </c>
      <c r="G25" s="46">
        <v>55.499999999999439</v>
      </c>
      <c r="H25" s="41" t="s">
        <v>1472</v>
      </c>
      <c r="I25" s="44">
        <f>SUM(J25:AI25)</f>
        <v>299.13882352941175</v>
      </c>
      <c r="J25" s="33">
        <v>0.26988235294117641</v>
      </c>
      <c r="K25" s="33">
        <v>0.35376470588235293</v>
      </c>
      <c r="L25" s="33">
        <v>1.0055294117647058</v>
      </c>
      <c r="M25" s="43">
        <v>0</v>
      </c>
      <c r="N25" s="33">
        <v>1.9398823529411764</v>
      </c>
      <c r="O25" s="33">
        <v>54.591999999999999</v>
      </c>
      <c r="P25" s="33">
        <v>7.700235294117646</v>
      </c>
      <c r="Q25" s="33">
        <v>8.7985882352941172</v>
      </c>
      <c r="R25" s="33">
        <v>2.0678823529411763</v>
      </c>
      <c r="S25" s="33">
        <v>0.73588235294117632</v>
      </c>
      <c r="T25" s="33">
        <v>15.403058823529411</v>
      </c>
      <c r="U25" s="33">
        <v>0</v>
      </c>
      <c r="V25" s="33">
        <v>0</v>
      </c>
      <c r="W25" s="33">
        <v>170.51035294117645</v>
      </c>
      <c r="X25" s="33">
        <v>6.6401176470588226</v>
      </c>
      <c r="Y25" s="33">
        <v>22.31</v>
      </c>
      <c r="Z25" s="33">
        <v>1.5245882352941176</v>
      </c>
      <c r="AA25" s="33">
        <v>1.5068235294117647</v>
      </c>
      <c r="AB25" s="33">
        <v>2.349176470588235</v>
      </c>
      <c r="AC25" s="43">
        <v>0</v>
      </c>
      <c r="AD25" s="33">
        <v>0.72470588235294109</v>
      </c>
      <c r="AE25" s="21">
        <v>0.18247058823529411</v>
      </c>
      <c r="AF25" s="33">
        <v>7.9411764705882348E-2</v>
      </c>
      <c r="AG25" s="33">
        <v>0.1608235294117647</v>
      </c>
      <c r="AH25" s="33">
        <v>2.552941176470588E-2</v>
      </c>
      <c r="AI25" s="33">
        <v>0.25811764705882351</v>
      </c>
    </row>
    <row r="26" spans="1:35" x14ac:dyDescent="0.3">
      <c r="A26" s="32" t="s">
        <v>1139</v>
      </c>
      <c r="B26" s="20" t="s">
        <v>1140</v>
      </c>
      <c r="C26" s="20" t="s">
        <v>146</v>
      </c>
      <c r="D26" s="20" t="s">
        <v>155</v>
      </c>
      <c r="E26" s="20">
        <v>2</v>
      </c>
      <c r="F26" s="20" t="s">
        <v>1100</v>
      </c>
      <c r="G26" s="46">
        <v>56.00000000000049</v>
      </c>
      <c r="H26" s="41" t="s">
        <v>1472</v>
      </c>
      <c r="I26" s="44">
        <f>SUM(J26:AI26)</f>
        <v>68.861999999999995</v>
      </c>
      <c r="J26" s="33">
        <v>0.26647058823529407</v>
      </c>
      <c r="K26" s="33">
        <v>0.60964705882352932</v>
      </c>
      <c r="L26" s="33">
        <v>1.4411764705882351</v>
      </c>
      <c r="M26" s="43">
        <v>0</v>
      </c>
      <c r="N26" s="33">
        <v>3.0375294117647051</v>
      </c>
      <c r="O26" s="33">
        <v>18.595529411764705</v>
      </c>
      <c r="P26" s="33">
        <v>0.112</v>
      </c>
      <c r="Q26" s="33">
        <v>0.40799999999999997</v>
      </c>
      <c r="R26" s="33">
        <v>0.4654117647058823</v>
      </c>
      <c r="S26" s="33">
        <v>0.62082352941176466</v>
      </c>
      <c r="T26" s="33">
        <v>5.6890588235294111</v>
      </c>
      <c r="U26" s="33">
        <v>0</v>
      </c>
      <c r="V26" s="33">
        <v>0</v>
      </c>
      <c r="W26" s="33">
        <v>16.311294117647058</v>
      </c>
      <c r="X26" s="33">
        <v>1.1675294117647057</v>
      </c>
      <c r="Y26" s="33">
        <v>16.196470588235293</v>
      </c>
      <c r="Z26" s="33">
        <v>0.994470588235294</v>
      </c>
      <c r="AA26" s="33">
        <v>0.40858823529411759</v>
      </c>
      <c r="AB26" s="33">
        <v>1.3635294117647059</v>
      </c>
      <c r="AC26" s="43">
        <v>0</v>
      </c>
      <c r="AD26" s="33">
        <v>0.46223529411764702</v>
      </c>
      <c r="AE26" s="21">
        <v>0.14152941176470588</v>
      </c>
      <c r="AF26" s="33">
        <v>8.0823529411764697E-2</v>
      </c>
      <c r="AG26" s="33">
        <v>0.28070588235294114</v>
      </c>
      <c r="AH26" s="33">
        <v>1.9529411764705882E-2</v>
      </c>
      <c r="AI26" s="33">
        <v>0.18964705882352939</v>
      </c>
    </row>
    <row r="27" spans="1:35" x14ac:dyDescent="0.3">
      <c r="A27" s="32" t="s">
        <v>1145</v>
      </c>
      <c r="B27" s="20" t="s">
        <v>1146</v>
      </c>
      <c r="C27" s="20" t="s">
        <v>146</v>
      </c>
      <c r="D27" s="20" t="s">
        <v>151</v>
      </c>
      <c r="E27" s="20">
        <v>2</v>
      </c>
      <c r="F27" s="20" t="s">
        <v>1100</v>
      </c>
      <c r="G27" s="46">
        <v>47.000000000000369</v>
      </c>
      <c r="H27" s="41" t="s">
        <v>1472</v>
      </c>
      <c r="I27" s="44">
        <f>SUM(J27:AI27)</f>
        <v>113.0782352941176</v>
      </c>
      <c r="J27" s="33">
        <v>0.2317647058823529</v>
      </c>
      <c r="K27" s="33">
        <v>0.37505882352941172</v>
      </c>
      <c r="L27" s="33">
        <v>2.2334117647058824</v>
      </c>
      <c r="M27" s="43">
        <v>0</v>
      </c>
      <c r="N27" s="33">
        <v>1.7312941176470589</v>
      </c>
      <c r="O27" s="33">
        <v>29.891058823529409</v>
      </c>
      <c r="P27" s="33">
        <v>6.9882352941176465E-2</v>
      </c>
      <c r="Q27" s="33">
        <v>0.114</v>
      </c>
      <c r="R27" s="33">
        <v>2.7470588235294118</v>
      </c>
      <c r="S27" s="33">
        <v>0.55494117647058816</v>
      </c>
      <c r="T27" s="33">
        <v>8.4315294117647053</v>
      </c>
      <c r="U27" s="33">
        <v>0</v>
      </c>
      <c r="V27" s="33">
        <v>0</v>
      </c>
      <c r="W27" s="33">
        <v>31.461999999999996</v>
      </c>
      <c r="X27" s="33">
        <v>2.4341176470588235</v>
      </c>
      <c r="Y27" s="33">
        <v>28.7255294117647</v>
      </c>
      <c r="Z27" s="33">
        <v>1.5978823529411763</v>
      </c>
      <c r="AA27" s="33">
        <v>0.3509411764705882</v>
      </c>
      <c r="AB27" s="33">
        <v>1.302941176470588</v>
      </c>
      <c r="AC27" s="43">
        <v>0</v>
      </c>
      <c r="AD27" s="33">
        <v>0.31282352941176467</v>
      </c>
      <c r="AE27" s="21">
        <v>9.4117647058823528E-2</v>
      </c>
      <c r="AF27" s="33">
        <v>8.8941176470588232E-2</v>
      </c>
      <c r="AG27" s="33">
        <v>4.2588235294117642E-2</v>
      </c>
      <c r="AH27" s="33">
        <v>5.2588235294117644E-2</v>
      </c>
      <c r="AI27" s="33">
        <v>0.2337647058823529</v>
      </c>
    </row>
    <row r="28" spans="1:35" x14ac:dyDescent="0.3">
      <c r="A28" s="32" t="s">
        <v>1147</v>
      </c>
      <c r="B28" s="20" t="s">
        <v>1148</v>
      </c>
      <c r="C28" s="20" t="s">
        <v>146</v>
      </c>
      <c r="D28" s="20" t="s">
        <v>153</v>
      </c>
      <c r="E28" s="20">
        <v>2</v>
      </c>
      <c r="F28" s="20" t="s">
        <v>1100</v>
      </c>
      <c r="G28" s="46">
        <v>34.499999999999531</v>
      </c>
      <c r="H28" s="41" t="s">
        <v>1472</v>
      </c>
      <c r="I28" s="44">
        <f>SUM(J28:AI28)</f>
        <v>60.942823529411761</v>
      </c>
      <c r="J28" s="33">
        <v>0.23764705882352938</v>
      </c>
      <c r="K28" s="33">
        <v>0.37482352941176467</v>
      </c>
      <c r="L28" s="33">
        <v>1.0688235294117647</v>
      </c>
      <c r="M28" s="43">
        <v>0</v>
      </c>
      <c r="N28" s="33">
        <v>2.0191764705882354</v>
      </c>
      <c r="O28" s="33">
        <v>14.625411764705882</v>
      </c>
      <c r="P28" s="33">
        <v>1.2588235294117647E-2</v>
      </c>
      <c r="Q28" s="33">
        <v>0.13670588235294118</v>
      </c>
      <c r="R28" s="33">
        <v>0.58847058823529408</v>
      </c>
      <c r="S28" s="33">
        <v>0.55894117647058816</v>
      </c>
      <c r="T28" s="33">
        <v>4.7759999999999998</v>
      </c>
      <c r="U28" s="33">
        <v>0</v>
      </c>
      <c r="V28" s="33">
        <v>0</v>
      </c>
      <c r="W28" s="33">
        <v>13.500235294117648</v>
      </c>
      <c r="X28" s="33">
        <v>1.0408235294117645</v>
      </c>
      <c r="Y28" s="33">
        <v>18.800235294117645</v>
      </c>
      <c r="Z28" s="33">
        <v>1.2090588235294117</v>
      </c>
      <c r="AA28" s="33">
        <v>0.32811764705882351</v>
      </c>
      <c r="AB28" s="33">
        <v>0.90435294117647047</v>
      </c>
      <c r="AC28" s="43">
        <v>0</v>
      </c>
      <c r="AD28" s="33">
        <v>0.35611764705882348</v>
      </c>
      <c r="AE28" s="21">
        <v>0.10835294117647057</v>
      </c>
      <c r="AF28" s="33">
        <v>5.3764705882352937E-2</v>
      </c>
      <c r="AG28" s="33">
        <v>6.5764705882352933E-2</v>
      </c>
      <c r="AH28" s="33">
        <v>1.5882352941176469E-2</v>
      </c>
      <c r="AI28" s="33">
        <v>0.16152941176470587</v>
      </c>
    </row>
    <row r="29" spans="1:35" x14ac:dyDescent="0.3">
      <c r="A29" s="32" t="s">
        <v>1177</v>
      </c>
      <c r="B29" s="20" t="s">
        <v>1178</v>
      </c>
      <c r="C29" s="20" t="s">
        <v>261</v>
      </c>
      <c r="D29" s="20" t="s">
        <v>274</v>
      </c>
      <c r="E29" s="20">
        <v>2</v>
      </c>
      <c r="F29" s="20" t="s">
        <v>1100</v>
      </c>
      <c r="G29" s="46">
        <v>39.000000000000142</v>
      </c>
      <c r="H29" s="41" t="s">
        <v>1472</v>
      </c>
      <c r="I29" s="44">
        <f>SUM(J29:AI29)</f>
        <v>82.760823529411752</v>
      </c>
      <c r="J29" s="33">
        <v>0.39588235294117641</v>
      </c>
      <c r="K29" s="33">
        <v>0.84458823529411764</v>
      </c>
      <c r="L29" s="33">
        <v>3.0118823529411762</v>
      </c>
      <c r="M29" s="43">
        <v>0</v>
      </c>
      <c r="N29" s="33">
        <v>2.3994117647058819</v>
      </c>
      <c r="O29" s="33">
        <v>27.177999999999997</v>
      </c>
      <c r="P29" s="33">
        <v>0.22364705882352939</v>
      </c>
      <c r="Q29" s="33">
        <v>0.55023529411764704</v>
      </c>
      <c r="R29" s="33">
        <v>0.4245882352941176</v>
      </c>
      <c r="S29" s="33">
        <v>0.82129411764705873</v>
      </c>
      <c r="T29" s="33">
        <v>8.1315294117647046</v>
      </c>
      <c r="U29" s="33">
        <v>0</v>
      </c>
      <c r="V29" s="33">
        <v>0</v>
      </c>
      <c r="W29" s="33">
        <v>16.110823529411764</v>
      </c>
      <c r="X29" s="33">
        <v>1.9831764705882351</v>
      </c>
      <c r="Y29" s="33">
        <v>17.919294117647055</v>
      </c>
      <c r="Z29" s="33">
        <v>1.052470588235294</v>
      </c>
      <c r="AA29" s="33">
        <v>0.35964705882352938</v>
      </c>
      <c r="AB29" s="33">
        <v>0.55647058823529405</v>
      </c>
      <c r="AC29" s="43">
        <v>0</v>
      </c>
      <c r="AD29" s="33">
        <v>0.3470588235294117</v>
      </c>
      <c r="AE29" s="21">
        <v>0.10647058823529412</v>
      </c>
      <c r="AF29" s="33">
        <v>4.729411764705882E-2</v>
      </c>
      <c r="AG29" s="33">
        <v>0.1072941176470588</v>
      </c>
      <c r="AH29" s="33">
        <v>6.4941176470588224E-2</v>
      </c>
      <c r="AI29" s="33">
        <v>0.12482352941176469</v>
      </c>
    </row>
    <row r="30" spans="1:35" x14ac:dyDescent="0.3">
      <c r="A30" s="32" t="s">
        <v>1179</v>
      </c>
      <c r="B30" s="20" t="s">
        <v>1180</v>
      </c>
      <c r="C30" s="20" t="s">
        <v>261</v>
      </c>
      <c r="D30" s="20" t="s">
        <v>276</v>
      </c>
      <c r="E30" s="20">
        <v>2</v>
      </c>
      <c r="F30" s="20" t="s">
        <v>1100</v>
      </c>
      <c r="G30" s="46">
        <v>40.499999999999979</v>
      </c>
      <c r="H30" s="41" t="s">
        <v>1472</v>
      </c>
      <c r="I30" s="44">
        <f>SUM(J30:AI30)</f>
        <v>390.72576470588234</v>
      </c>
      <c r="J30" s="33">
        <v>0.34623529411764703</v>
      </c>
      <c r="K30" s="33">
        <v>1.0130588235294118</v>
      </c>
      <c r="L30" s="33">
        <v>3.3197647058823527</v>
      </c>
      <c r="M30" s="43">
        <v>0</v>
      </c>
      <c r="N30" s="33">
        <v>1.6356470588235292</v>
      </c>
      <c r="O30" s="33">
        <v>74.027411764705874</v>
      </c>
      <c r="P30" s="33">
        <v>1.6792941176470588</v>
      </c>
      <c r="Q30" s="33">
        <v>10.321058823529411</v>
      </c>
      <c r="R30" s="33">
        <v>5.5912941176470587</v>
      </c>
      <c r="S30" s="33">
        <v>0.8972941176470588</v>
      </c>
      <c r="T30" s="33">
        <v>15.252941176470587</v>
      </c>
      <c r="U30" s="33">
        <v>0</v>
      </c>
      <c r="V30" s="33">
        <v>0</v>
      </c>
      <c r="W30" s="33">
        <v>216.40305882352939</v>
      </c>
      <c r="X30" s="33">
        <v>9.8338823529411759</v>
      </c>
      <c r="Y30" s="33">
        <v>44.419999999999995</v>
      </c>
      <c r="Z30" s="33">
        <v>2.9888235294117647</v>
      </c>
      <c r="AA30" s="33">
        <v>1.4476470588235293</v>
      </c>
      <c r="AB30" s="33">
        <v>0.66152941176470581</v>
      </c>
      <c r="AC30" s="43">
        <v>0</v>
      </c>
      <c r="AD30" s="33">
        <v>0.51329411764705879</v>
      </c>
      <c r="AE30" s="21">
        <v>0.1376470588235294</v>
      </c>
      <c r="AF30" s="33">
        <v>6.1882352941176465E-2</v>
      </c>
      <c r="AG30" s="33">
        <v>3.3058823529411765E-2</v>
      </c>
      <c r="AH30" s="33">
        <v>3.2705882352941175E-2</v>
      </c>
      <c r="AI30" s="33">
        <v>0.10823529411764705</v>
      </c>
    </row>
    <row r="31" spans="1:35" x14ac:dyDescent="0.3">
      <c r="A31" s="32" t="s">
        <v>1171</v>
      </c>
      <c r="B31" s="20" t="s">
        <v>1172</v>
      </c>
      <c r="C31" s="20" t="s">
        <v>261</v>
      </c>
      <c r="D31" s="20" t="s">
        <v>278</v>
      </c>
      <c r="E31" s="20">
        <v>2</v>
      </c>
      <c r="F31" s="20" t="s">
        <v>1100</v>
      </c>
      <c r="G31" s="46">
        <v>38.500000000000199</v>
      </c>
      <c r="H31" s="41" t="s">
        <v>1472</v>
      </c>
      <c r="I31" s="44">
        <f>SUM(J31:AI31)</f>
        <v>68.071529411764701</v>
      </c>
      <c r="J31" s="33">
        <v>0.21576470588235291</v>
      </c>
      <c r="K31" s="33">
        <v>0.42117647058823526</v>
      </c>
      <c r="L31" s="33">
        <v>2.1282352941176468</v>
      </c>
      <c r="M31" s="43">
        <v>0</v>
      </c>
      <c r="N31" s="33">
        <v>1.0587058823529412</v>
      </c>
      <c r="O31" s="33">
        <v>22.269411764705882</v>
      </c>
      <c r="P31" s="33">
        <v>0.12941176470588234</v>
      </c>
      <c r="Q31" s="33">
        <v>3.8470588235294111E-2</v>
      </c>
      <c r="R31" s="33">
        <v>0.25364705882352939</v>
      </c>
      <c r="S31" s="33">
        <v>0.93376470588235283</v>
      </c>
      <c r="T31" s="33">
        <v>7.1452941176470572</v>
      </c>
      <c r="U31" s="33">
        <v>0</v>
      </c>
      <c r="V31" s="33">
        <v>0</v>
      </c>
      <c r="W31" s="33">
        <v>9.3292941176470574</v>
      </c>
      <c r="X31" s="33">
        <v>1.4349411764705882</v>
      </c>
      <c r="Y31" s="33">
        <v>19.281411764705879</v>
      </c>
      <c r="Z31" s="33">
        <v>1.252941176470588</v>
      </c>
      <c r="AA31" s="33">
        <v>0.83576470588235297</v>
      </c>
      <c r="AB31" s="33">
        <v>0.29705882352941176</v>
      </c>
      <c r="AC31" s="43">
        <v>0</v>
      </c>
      <c r="AD31" s="33">
        <v>0.66941176470588226</v>
      </c>
      <c r="AE31" s="21">
        <v>0.19058823529411761</v>
      </c>
      <c r="AF31" s="33">
        <v>1.7176470588235293E-2</v>
      </c>
      <c r="AG31" s="33">
        <v>4.8470588235294119E-2</v>
      </c>
      <c r="AH31" s="33">
        <v>4.1058823529411759E-2</v>
      </c>
      <c r="AI31" s="33">
        <v>7.9529411764705876E-2</v>
      </c>
    </row>
    <row r="32" spans="1:35" x14ac:dyDescent="0.3">
      <c r="A32" s="32" t="s">
        <v>1173</v>
      </c>
      <c r="B32" s="20" t="s">
        <v>1174</v>
      </c>
      <c r="C32" s="20" t="s">
        <v>261</v>
      </c>
      <c r="D32" s="20" t="s">
        <v>280</v>
      </c>
      <c r="E32" s="20">
        <v>2</v>
      </c>
      <c r="F32" s="20" t="s">
        <v>1100</v>
      </c>
      <c r="G32" s="46">
        <v>28.999999999999027</v>
      </c>
      <c r="H32" s="41" t="s">
        <v>1472</v>
      </c>
      <c r="I32" s="44">
        <f>SUM(J32:AI32)</f>
        <v>77.439647058823525</v>
      </c>
      <c r="J32" s="33">
        <v>0.29247058823529409</v>
      </c>
      <c r="K32" s="33">
        <v>0.55588235294117638</v>
      </c>
      <c r="L32" s="33">
        <v>2.3868235294117648</v>
      </c>
      <c r="M32" s="43">
        <v>0</v>
      </c>
      <c r="N32" s="33">
        <v>1.6444705882352939</v>
      </c>
      <c r="O32" s="33">
        <v>23.845176470588232</v>
      </c>
      <c r="P32" s="33">
        <v>5.3647058823529402E-2</v>
      </c>
      <c r="Q32" s="33">
        <v>0.25235294117647056</v>
      </c>
      <c r="R32" s="33">
        <v>0.43011764705882349</v>
      </c>
      <c r="S32" s="33">
        <v>1.1664705882352941</v>
      </c>
      <c r="T32" s="33">
        <v>7.2194117647058818</v>
      </c>
      <c r="U32" s="33">
        <v>0</v>
      </c>
      <c r="V32" s="33">
        <v>0</v>
      </c>
      <c r="W32" s="33">
        <v>14.93835294117647</v>
      </c>
      <c r="X32" s="33">
        <v>1.6432941176470586</v>
      </c>
      <c r="Y32" s="33">
        <v>19.878941176470587</v>
      </c>
      <c r="Z32" s="33">
        <v>1.2617647058823529</v>
      </c>
      <c r="AA32" s="33">
        <v>0.34552941176470586</v>
      </c>
      <c r="AB32" s="33">
        <v>0.6841176470588235</v>
      </c>
      <c r="AC32" s="43">
        <v>0</v>
      </c>
      <c r="AD32" s="33">
        <v>0.36870588235294116</v>
      </c>
      <c r="AE32" s="21">
        <v>0.10847058823529412</v>
      </c>
      <c r="AF32" s="33">
        <v>4.3294117647058823E-2</v>
      </c>
      <c r="AG32" s="33">
        <v>0.15423529411764705</v>
      </c>
      <c r="AH32" s="33">
        <v>2.552941176470588E-2</v>
      </c>
      <c r="AI32" s="33">
        <v>0.14058823529411765</v>
      </c>
    </row>
    <row r="33" spans="1:35" x14ac:dyDescent="0.3">
      <c r="A33" s="32" t="s">
        <v>1175</v>
      </c>
      <c r="B33" s="20" t="s">
        <v>1176</v>
      </c>
      <c r="C33" s="20" t="s">
        <v>261</v>
      </c>
      <c r="D33" s="20" t="s">
        <v>282</v>
      </c>
      <c r="E33" s="20">
        <v>2</v>
      </c>
      <c r="F33" s="20" t="s">
        <v>1100</v>
      </c>
      <c r="G33" s="46">
        <v>11.499999999999844</v>
      </c>
      <c r="H33" s="41" t="s">
        <v>1472</v>
      </c>
      <c r="I33" s="44">
        <f>SUM(J33:AI33)</f>
        <v>53.766823529411759</v>
      </c>
      <c r="J33" s="33">
        <v>0.23200000000000001</v>
      </c>
      <c r="K33" s="33">
        <v>0.33458823529411763</v>
      </c>
      <c r="L33" s="33">
        <v>1.570235294117647</v>
      </c>
      <c r="M33" s="43">
        <v>0</v>
      </c>
      <c r="N33" s="33">
        <v>0.80188235294117638</v>
      </c>
      <c r="O33" s="33">
        <v>17.087176470588233</v>
      </c>
      <c r="P33" s="33">
        <v>5.223529411764706E-2</v>
      </c>
      <c r="Q33" s="33">
        <v>3.6588235294117644E-2</v>
      </c>
      <c r="R33" s="33">
        <v>0.25823529411764706</v>
      </c>
      <c r="S33" s="33">
        <v>0.57152941176470584</v>
      </c>
      <c r="T33" s="33">
        <v>7.1923529411764697</v>
      </c>
      <c r="U33" s="33">
        <v>0</v>
      </c>
      <c r="V33" s="33">
        <v>0</v>
      </c>
      <c r="W33" s="33">
        <v>7.6204705882352934</v>
      </c>
      <c r="X33" s="33">
        <v>1.2817647058823529</v>
      </c>
      <c r="Y33" s="33">
        <v>13.55035294117647</v>
      </c>
      <c r="Z33" s="33">
        <v>0.83447058823529419</v>
      </c>
      <c r="AA33" s="33">
        <v>0.31999999999999995</v>
      </c>
      <c r="AB33" s="33">
        <v>1.0235294117647058</v>
      </c>
      <c r="AC33" s="43">
        <v>0</v>
      </c>
      <c r="AD33" s="33">
        <v>0.36494117647058821</v>
      </c>
      <c r="AE33" s="21">
        <v>0.106</v>
      </c>
      <c r="AF33" s="33">
        <v>7.1882352941176467E-2</v>
      </c>
      <c r="AG33" s="33">
        <v>0.25305882352941178</v>
      </c>
      <c r="AH33" s="33">
        <v>6.0588235294117644E-2</v>
      </c>
      <c r="AI33" s="33">
        <v>0.14294117647058821</v>
      </c>
    </row>
    <row r="34" spans="1:35" x14ac:dyDescent="0.3">
      <c r="A34" s="32" t="s">
        <v>1127</v>
      </c>
      <c r="B34" s="20" t="s">
        <v>1128</v>
      </c>
      <c r="C34" s="20" t="s">
        <v>20</v>
      </c>
      <c r="D34" s="20" t="s">
        <v>43</v>
      </c>
      <c r="E34" s="20">
        <v>6</v>
      </c>
      <c r="F34" s="20" t="s">
        <v>1100</v>
      </c>
      <c r="G34" s="46">
        <v>50.499999999999986</v>
      </c>
      <c r="H34" s="41" t="s">
        <v>1472</v>
      </c>
      <c r="I34" s="44">
        <f>SUM(J34:AI34)</f>
        <v>54.11999999999999</v>
      </c>
      <c r="J34" s="33">
        <v>0.23105882352941176</v>
      </c>
      <c r="K34" s="33">
        <v>0.23776470588235291</v>
      </c>
      <c r="L34" s="33">
        <v>0.28188235294117642</v>
      </c>
      <c r="M34" s="43">
        <v>0</v>
      </c>
      <c r="N34" s="33">
        <v>8.5647058823529409E-2</v>
      </c>
      <c r="O34" s="33">
        <v>15.141882352941176</v>
      </c>
      <c r="P34" s="33">
        <v>2.5485882352941172</v>
      </c>
      <c r="Q34" s="33">
        <v>0.89882352941176458</v>
      </c>
      <c r="R34" s="33">
        <v>0.15552941176470589</v>
      </c>
      <c r="S34" s="33">
        <v>0.16635294117647056</v>
      </c>
      <c r="T34" s="33">
        <v>7.2655294117647049</v>
      </c>
      <c r="U34" s="33">
        <v>0</v>
      </c>
      <c r="V34" s="33">
        <v>0</v>
      </c>
      <c r="W34" s="33">
        <v>9.4971764705882347</v>
      </c>
      <c r="X34" s="33">
        <v>0.5388235294117647</v>
      </c>
      <c r="Y34" s="33">
        <v>13.260705882352939</v>
      </c>
      <c r="Z34" s="33">
        <v>0.9055294117647058</v>
      </c>
      <c r="AA34" s="33">
        <v>1.0795294117647056</v>
      </c>
      <c r="AB34" s="33">
        <v>0.61164705882352943</v>
      </c>
      <c r="AC34" s="43">
        <v>0</v>
      </c>
      <c r="AD34" s="33">
        <v>0.70341176470588229</v>
      </c>
      <c r="AE34" s="21">
        <v>0.15494117647058822</v>
      </c>
      <c r="AF34" s="33">
        <v>2.7529411764705882E-2</v>
      </c>
      <c r="AG34" s="33">
        <v>0.16470588235294117</v>
      </c>
      <c r="AH34" s="33">
        <v>1.4941176470588236E-2</v>
      </c>
      <c r="AI34" s="33">
        <v>0.14799999999999996</v>
      </c>
    </row>
    <row r="35" spans="1:35" x14ac:dyDescent="0.3">
      <c r="A35" s="32" t="s">
        <v>1121</v>
      </c>
      <c r="B35" s="20" t="s">
        <v>1122</v>
      </c>
      <c r="C35" s="20" t="s">
        <v>20</v>
      </c>
      <c r="D35" s="20" t="s">
        <v>47</v>
      </c>
      <c r="E35" s="20">
        <v>6</v>
      </c>
      <c r="F35" s="20" t="s">
        <v>1100</v>
      </c>
      <c r="G35" s="46">
        <v>51.999999999999822</v>
      </c>
      <c r="H35" s="41" t="s">
        <v>1472</v>
      </c>
      <c r="I35" s="44">
        <f>SUM(J35:AI35)</f>
        <v>41.263058823529406</v>
      </c>
      <c r="J35" s="33">
        <v>0.27870588235294114</v>
      </c>
      <c r="K35" s="33">
        <v>0.54329411764705882</v>
      </c>
      <c r="L35" s="33">
        <v>0.44682352941176467</v>
      </c>
      <c r="M35" s="43">
        <v>0</v>
      </c>
      <c r="N35" s="33">
        <v>0.11305882352941177</v>
      </c>
      <c r="O35" s="33">
        <v>10.418588235294116</v>
      </c>
      <c r="P35" s="33">
        <v>0.20105882352941176</v>
      </c>
      <c r="Q35" s="33">
        <v>0.26305882352941173</v>
      </c>
      <c r="R35" s="33">
        <v>0.2297647058823529</v>
      </c>
      <c r="S35" s="33">
        <v>0.13023529411764706</v>
      </c>
      <c r="T35" s="33">
        <v>4.696470588235294</v>
      </c>
      <c r="U35" s="33">
        <v>0</v>
      </c>
      <c r="V35" s="33">
        <v>0</v>
      </c>
      <c r="W35" s="33">
        <v>7.4485882352941166</v>
      </c>
      <c r="X35" s="33">
        <v>0.5641176470588235</v>
      </c>
      <c r="Y35" s="33">
        <v>13.204235294117646</v>
      </c>
      <c r="Z35" s="33">
        <v>0.76941176470588224</v>
      </c>
      <c r="AA35" s="33">
        <v>0.35529411764705882</v>
      </c>
      <c r="AB35" s="33">
        <v>0.83929411764705875</v>
      </c>
      <c r="AC35" s="43">
        <v>0</v>
      </c>
      <c r="AD35" s="33">
        <v>0.34552941176470586</v>
      </c>
      <c r="AE35" s="21">
        <v>0.1</v>
      </c>
      <c r="AF35" s="33">
        <v>4.9529411764705877E-2</v>
      </c>
      <c r="AG35" s="33">
        <v>0.12435294117647057</v>
      </c>
      <c r="AH35" s="33">
        <v>0</v>
      </c>
      <c r="AI35" s="33">
        <v>0.1416470588235294</v>
      </c>
    </row>
    <row r="36" spans="1:35" x14ac:dyDescent="0.3">
      <c r="A36" s="32" t="s">
        <v>1123</v>
      </c>
      <c r="B36" s="20" t="s">
        <v>1124</v>
      </c>
      <c r="C36" s="20" t="s">
        <v>20</v>
      </c>
      <c r="D36" s="20" t="s">
        <v>49</v>
      </c>
      <c r="E36" s="20">
        <v>6</v>
      </c>
      <c r="F36" s="20" t="s">
        <v>1100</v>
      </c>
      <c r="G36" s="46">
        <v>36.499999999999311</v>
      </c>
      <c r="H36" s="41" t="s">
        <v>1472</v>
      </c>
      <c r="I36" s="44">
        <f>SUM(J36:AI36)</f>
        <v>79.641764705882338</v>
      </c>
      <c r="J36" s="33">
        <v>0.24494117647058825</v>
      </c>
      <c r="K36" s="33">
        <v>0.4844705882352941</v>
      </c>
      <c r="L36" s="33">
        <v>0.35470588235294115</v>
      </c>
      <c r="M36" s="43">
        <v>0</v>
      </c>
      <c r="N36" s="33">
        <v>9.3176470588235291E-2</v>
      </c>
      <c r="O36" s="33">
        <v>17.487294117647057</v>
      </c>
      <c r="P36" s="33">
        <v>1.9064705882352939</v>
      </c>
      <c r="Q36" s="33">
        <v>2.3038823529411765</v>
      </c>
      <c r="R36" s="33">
        <v>0.32070588235294112</v>
      </c>
      <c r="S36" s="33">
        <v>0.16235294117647056</v>
      </c>
      <c r="T36" s="33">
        <v>7.2058823529411766</v>
      </c>
      <c r="U36" s="33">
        <v>0</v>
      </c>
      <c r="V36" s="33">
        <v>0</v>
      </c>
      <c r="W36" s="33">
        <v>30.479764705882353</v>
      </c>
      <c r="X36" s="33">
        <v>1.4302352941176468</v>
      </c>
      <c r="Y36" s="33">
        <v>13.947882352941175</v>
      </c>
      <c r="Z36" s="33">
        <v>0.79741176470588238</v>
      </c>
      <c r="AA36" s="33">
        <v>0.66435294117647048</v>
      </c>
      <c r="AB36" s="33">
        <v>0.87741176470588222</v>
      </c>
      <c r="AC36" s="43">
        <v>0</v>
      </c>
      <c r="AD36" s="33">
        <v>0.41776470588235293</v>
      </c>
      <c r="AE36" s="21">
        <v>0.10823529411764705</v>
      </c>
      <c r="AF36" s="33">
        <v>4.2352941176470586E-2</v>
      </c>
      <c r="AG36" s="33">
        <v>0.13811764705882351</v>
      </c>
      <c r="AH36" s="33">
        <v>9.5294117647058817E-3</v>
      </c>
      <c r="AI36" s="33">
        <v>0.1648235294117647</v>
      </c>
    </row>
    <row r="37" spans="1:35" x14ac:dyDescent="0.3">
      <c r="A37" s="32" t="s">
        <v>1125</v>
      </c>
      <c r="B37" s="20" t="s">
        <v>1126</v>
      </c>
      <c r="C37" s="20" t="s">
        <v>20</v>
      </c>
      <c r="D37" s="20" t="s">
        <v>45</v>
      </c>
      <c r="E37" s="20">
        <v>6</v>
      </c>
      <c r="F37" s="20" t="s">
        <v>1100</v>
      </c>
      <c r="G37" s="46">
        <v>22.999999999999687</v>
      </c>
      <c r="H37" s="41" t="s">
        <v>1472</v>
      </c>
      <c r="I37" s="44">
        <f>SUM(J37:AI37)</f>
        <v>46.553647058823536</v>
      </c>
      <c r="J37" s="33">
        <v>0.26223529411764707</v>
      </c>
      <c r="K37" s="33">
        <v>0.4823529411764706</v>
      </c>
      <c r="L37" s="33">
        <v>0.39529411764705874</v>
      </c>
      <c r="M37" s="43">
        <v>0</v>
      </c>
      <c r="N37" s="33">
        <v>0.10247058823529412</v>
      </c>
      <c r="O37" s="33">
        <v>12.512117647058824</v>
      </c>
      <c r="P37" s="33">
        <v>0.87752941176470589</v>
      </c>
      <c r="Q37" s="33">
        <v>0.78470588235294103</v>
      </c>
      <c r="R37" s="33">
        <v>0.2037647058823529</v>
      </c>
      <c r="S37" s="33">
        <v>0.13811764705882351</v>
      </c>
      <c r="T37" s="33">
        <v>5.3195294117647052</v>
      </c>
      <c r="U37" s="33">
        <v>0</v>
      </c>
      <c r="V37" s="33">
        <v>0</v>
      </c>
      <c r="W37" s="33">
        <v>8.5690588235294101</v>
      </c>
      <c r="X37" s="33">
        <v>0.6375294117647059</v>
      </c>
      <c r="Y37" s="33">
        <v>13.208470588235292</v>
      </c>
      <c r="Z37" s="33">
        <v>0.75482352941176456</v>
      </c>
      <c r="AA37" s="33">
        <v>0.53447058823529403</v>
      </c>
      <c r="AB37" s="33">
        <v>0.85376470588235287</v>
      </c>
      <c r="AC37" s="43">
        <v>0</v>
      </c>
      <c r="AD37" s="33">
        <v>0.42223529411764699</v>
      </c>
      <c r="AE37" s="21">
        <v>0.12964705882352939</v>
      </c>
      <c r="AF37" s="33">
        <v>4.517647058823529E-2</v>
      </c>
      <c r="AG37" s="33">
        <v>0.10258823529411765</v>
      </c>
      <c r="AH37" s="33">
        <v>8.8235294117647058E-3</v>
      </c>
      <c r="AI37" s="33">
        <v>0.20894117647058824</v>
      </c>
    </row>
    <row r="38" spans="1:35" x14ac:dyDescent="0.3">
      <c r="A38" s="32" t="s">
        <v>1153</v>
      </c>
      <c r="B38" s="20" t="s">
        <v>1154</v>
      </c>
      <c r="C38" s="20" t="s">
        <v>146</v>
      </c>
      <c r="D38" s="20" t="s">
        <v>167</v>
      </c>
      <c r="E38" s="20">
        <v>6</v>
      </c>
      <c r="F38" s="20" t="s">
        <v>1100</v>
      </c>
      <c r="G38" s="46">
        <v>38.000000000000256</v>
      </c>
      <c r="H38" s="41" t="s">
        <v>1472</v>
      </c>
      <c r="I38" s="44">
        <f>SUM(J38:AI38)</f>
        <v>84.20999999999998</v>
      </c>
      <c r="J38" s="33">
        <v>0.2071764705882353</v>
      </c>
      <c r="K38" s="33">
        <v>0.24211764705882352</v>
      </c>
      <c r="L38" s="33">
        <v>0.96235294117647052</v>
      </c>
      <c r="M38" s="43">
        <v>0</v>
      </c>
      <c r="N38" s="33">
        <v>2.2305882352941175</v>
      </c>
      <c r="O38" s="33">
        <v>27.47776470588235</v>
      </c>
      <c r="P38" s="33">
        <v>6.2529411764705873</v>
      </c>
      <c r="Q38" s="33">
        <v>2.8155294117647056</v>
      </c>
      <c r="R38" s="33">
        <v>0.4014117647058823</v>
      </c>
      <c r="S38" s="33">
        <v>0.61294117647058821</v>
      </c>
      <c r="T38" s="33">
        <v>9.4615294117647046</v>
      </c>
      <c r="U38" s="33">
        <v>0</v>
      </c>
      <c r="V38" s="33">
        <v>0</v>
      </c>
      <c r="W38" s="33">
        <v>18.870823529411762</v>
      </c>
      <c r="X38" s="33">
        <v>1.1870588235294117</v>
      </c>
      <c r="Y38" s="33">
        <v>9.9265882352941155</v>
      </c>
      <c r="Z38" s="33">
        <v>0.67882352941176471</v>
      </c>
      <c r="AA38" s="33">
        <v>0.78070588235294114</v>
      </c>
      <c r="AB38" s="33">
        <v>1.078235294117647</v>
      </c>
      <c r="AC38" s="43">
        <v>0</v>
      </c>
      <c r="AD38" s="33">
        <v>0.51105882352941168</v>
      </c>
      <c r="AE38" s="21">
        <v>0.15035294117647058</v>
      </c>
      <c r="AF38" s="33">
        <v>4.8470588235294119E-2</v>
      </c>
      <c r="AG38" s="33">
        <v>8.3058823529411768E-2</v>
      </c>
      <c r="AH38" s="33">
        <v>1.964705882352941E-2</v>
      </c>
      <c r="AI38" s="33">
        <v>0.21082352941176466</v>
      </c>
    </row>
    <row r="39" spans="1:35" x14ac:dyDescent="0.3">
      <c r="A39" s="32" t="s">
        <v>1155</v>
      </c>
      <c r="B39" s="20" t="s">
        <v>1156</v>
      </c>
      <c r="C39" s="20" t="s">
        <v>146</v>
      </c>
      <c r="D39" s="20" t="s">
        <v>169</v>
      </c>
      <c r="E39" s="20">
        <v>6</v>
      </c>
      <c r="F39" s="20" t="s">
        <v>1100</v>
      </c>
      <c r="G39" s="46">
        <v>48.000000000000263</v>
      </c>
      <c r="H39" s="41" t="s">
        <v>1472</v>
      </c>
      <c r="I39" s="44">
        <f>SUM(J39:AI39)</f>
        <v>62.591294117647053</v>
      </c>
      <c r="J39" s="33">
        <v>0.24188235294117644</v>
      </c>
      <c r="K39" s="33">
        <v>0.3257647058823529</v>
      </c>
      <c r="L39" s="33">
        <v>1.3378823529411763</v>
      </c>
      <c r="M39" s="43">
        <v>0</v>
      </c>
      <c r="N39" s="33">
        <v>2.978470588235294</v>
      </c>
      <c r="O39" s="33">
        <v>17.578705882352939</v>
      </c>
      <c r="P39" s="33">
        <v>0.34199999999999997</v>
      </c>
      <c r="Q39" s="33">
        <v>0.11658823529411765</v>
      </c>
      <c r="R39" s="33">
        <v>0.31552941176470584</v>
      </c>
      <c r="S39" s="33">
        <v>0.74917647058823522</v>
      </c>
      <c r="T39" s="33">
        <v>6.2975294117647058</v>
      </c>
      <c r="U39" s="33">
        <v>0</v>
      </c>
      <c r="V39" s="33">
        <v>0</v>
      </c>
      <c r="W39" s="33">
        <v>11.340117647058824</v>
      </c>
      <c r="X39" s="33">
        <v>0.78658823529411759</v>
      </c>
      <c r="Y39" s="33">
        <v>15.863529411764706</v>
      </c>
      <c r="Z39" s="33">
        <v>1.0338823529411765</v>
      </c>
      <c r="AA39" s="33">
        <v>0.42505882352941177</v>
      </c>
      <c r="AB39" s="33">
        <v>1.4176470588235293</v>
      </c>
      <c r="AC39" s="43">
        <v>0</v>
      </c>
      <c r="AD39" s="33">
        <v>0.69176470588235284</v>
      </c>
      <c r="AE39" s="21">
        <v>0.15835294117647059</v>
      </c>
      <c r="AF39" s="33">
        <v>6.6941176470588226E-2</v>
      </c>
      <c r="AG39" s="33">
        <v>0.3005882352941176</v>
      </c>
      <c r="AH39" s="33">
        <v>2.0235294117647056E-2</v>
      </c>
      <c r="AI39" s="33">
        <v>0.20305882352941176</v>
      </c>
    </row>
    <row r="40" spans="1:35" x14ac:dyDescent="0.3">
      <c r="A40" s="32" t="s">
        <v>1149</v>
      </c>
      <c r="B40" s="20" t="s">
        <v>1150</v>
      </c>
      <c r="C40" s="20" t="s">
        <v>146</v>
      </c>
      <c r="D40" s="20" t="s">
        <v>161</v>
      </c>
      <c r="E40" s="20">
        <v>6</v>
      </c>
      <c r="F40" s="20" t="s">
        <v>1100</v>
      </c>
      <c r="G40" s="46">
        <v>51.499999999999879</v>
      </c>
      <c r="H40" s="41" t="s">
        <v>1472</v>
      </c>
      <c r="I40" s="44">
        <f>SUM(J40:AI40)</f>
        <v>303.35905882352944</v>
      </c>
      <c r="J40" s="33">
        <v>0.35599999999999998</v>
      </c>
      <c r="K40" s="33">
        <v>0.85764705882352943</v>
      </c>
      <c r="L40" s="33">
        <v>4.3347058823529405</v>
      </c>
      <c r="M40" s="43">
        <v>0</v>
      </c>
      <c r="N40" s="33">
        <v>2.3959999999999999</v>
      </c>
      <c r="O40" s="33">
        <v>91.415294117647051</v>
      </c>
      <c r="P40" s="33">
        <v>10.834235294117645</v>
      </c>
      <c r="Q40" s="33">
        <v>6.7083529411764697</v>
      </c>
      <c r="R40" s="33">
        <v>6.8315294117647047</v>
      </c>
      <c r="S40" s="33">
        <v>0.93541176470588228</v>
      </c>
      <c r="T40" s="33">
        <v>27.334941176470586</v>
      </c>
      <c r="U40" s="33">
        <v>0</v>
      </c>
      <c r="V40" s="33">
        <v>0</v>
      </c>
      <c r="W40" s="33">
        <v>89.524470588235289</v>
      </c>
      <c r="X40" s="33">
        <v>5.5925882352941176</v>
      </c>
      <c r="Y40" s="33">
        <v>48.520588235294113</v>
      </c>
      <c r="Z40" s="33">
        <v>2.3178823529411763</v>
      </c>
      <c r="AA40" s="33">
        <v>1.5238823529411765</v>
      </c>
      <c r="AB40" s="33">
        <v>2.2689411764705882</v>
      </c>
      <c r="AC40" s="43">
        <v>0</v>
      </c>
      <c r="AD40" s="33">
        <v>0.68823529411764706</v>
      </c>
      <c r="AE40" s="21">
        <v>0.16399999999999998</v>
      </c>
      <c r="AF40" s="33">
        <v>0.15799999999999997</v>
      </c>
      <c r="AG40" s="33">
        <v>0.1108235294117647</v>
      </c>
      <c r="AH40" s="33">
        <v>4.5411764705882353E-2</v>
      </c>
      <c r="AI40" s="33">
        <v>0.4401176470588235</v>
      </c>
    </row>
    <row r="41" spans="1:35" x14ac:dyDescent="0.3">
      <c r="A41" s="32" t="s">
        <v>1157</v>
      </c>
      <c r="B41" s="20" t="s">
        <v>1158</v>
      </c>
      <c r="C41" s="20" t="s">
        <v>146</v>
      </c>
      <c r="D41" s="20" t="s">
        <v>163</v>
      </c>
      <c r="E41" s="20">
        <v>6</v>
      </c>
      <c r="F41" s="20" t="s">
        <v>1100</v>
      </c>
      <c r="G41" s="46">
        <v>29.000000000000135</v>
      </c>
      <c r="H41" s="41" t="s">
        <v>1472</v>
      </c>
      <c r="I41" s="44">
        <f>SUM(J41:AI41)</f>
        <v>272.40141176470576</v>
      </c>
      <c r="J41" s="33">
        <v>0.52976470588235292</v>
      </c>
      <c r="K41" s="33">
        <v>0.46647058823529408</v>
      </c>
      <c r="L41" s="33">
        <v>1.8858823529411763</v>
      </c>
      <c r="M41" s="43">
        <v>0</v>
      </c>
      <c r="N41" s="33">
        <v>4.2799999999999994</v>
      </c>
      <c r="O41" s="33">
        <v>80.810117647058817</v>
      </c>
      <c r="P41" s="33">
        <v>24.40176470588235</v>
      </c>
      <c r="Q41" s="33">
        <v>18.020705882352939</v>
      </c>
      <c r="R41" s="33">
        <v>1.2476470588235293</v>
      </c>
      <c r="S41" s="33">
        <v>1.8775294117647059</v>
      </c>
      <c r="T41" s="33">
        <v>25.225411764705878</v>
      </c>
      <c r="U41" s="33">
        <v>0</v>
      </c>
      <c r="V41" s="33">
        <v>0</v>
      </c>
      <c r="W41" s="33">
        <v>83.8630588235294</v>
      </c>
      <c r="X41" s="33">
        <v>6.3044705882352936</v>
      </c>
      <c r="Y41" s="33">
        <v>15.496470588235292</v>
      </c>
      <c r="Z41" s="33">
        <v>0.86635294117647044</v>
      </c>
      <c r="AA41" s="33">
        <v>2.1396470588235292</v>
      </c>
      <c r="AB41" s="33">
        <v>2.8194117647058823</v>
      </c>
      <c r="AC41" s="43">
        <v>0</v>
      </c>
      <c r="AD41" s="33">
        <v>0.88082352941176467</v>
      </c>
      <c r="AE41" s="21">
        <v>0.2037647058823529</v>
      </c>
      <c r="AF41" s="33">
        <v>0.13329411764705881</v>
      </c>
      <c r="AG41" s="33">
        <v>0.35423529411764704</v>
      </c>
      <c r="AH41" s="33">
        <v>4.8235294117647057E-2</v>
      </c>
      <c r="AI41" s="33">
        <v>0.5463529411764706</v>
      </c>
    </row>
    <row r="42" spans="1:35" x14ac:dyDescent="0.3">
      <c r="A42" s="32" t="s">
        <v>1151</v>
      </c>
      <c r="B42" s="20" t="s">
        <v>1152</v>
      </c>
      <c r="C42" s="20" t="s">
        <v>146</v>
      </c>
      <c r="D42" s="20" t="s">
        <v>165</v>
      </c>
      <c r="E42" s="20">
        <v>6</v>
      </c>
      <c r="F42" s="20" t="s">
        <v>1100</v>
      </c>
      <c r="G42" s="46">
        <v>50.000000000000043</v>
      </c>
      <c r="H42" s="41" t="s">
        <v>1472</v>
      </c>
      <c r="I42" s="44">
        <f>SUM(J42:AI42)</f>
        <v>79.275647058823495</v>
      </c>
      <c r="J42" s="33">
        <v>0.25235294117647056</v>
      </c>
      <c r="K42" s="33">
        <v>0.52764705882352936</v>
      </c>
      <c r="L42" s="33">
        <v>1.0047058823529411</v>
      </c>
      <c r="M42" s="43">
        <v>0</v>
      </c>
      <c r="N42" s="33">
        <v>2.4225882352941173</v>
      </c>
      <c r="O42" s="33">
        <v>22.463764705882351</v>
      </c>
      <c r="P42" s="33">
        <v>3.2489411764705882</v>
      </c>
      <c r="Q42" s="33">
        <v>2.2990588235294118</v>
      </c>
      <c r="R42" s="33">
        <v>0.29235294117647059</v>
      </c>
      <c r="S42" s="33">
        <v>0.61482352941176466</v>
      </c>
      <c r="T42" s="33">
        <v>8.272235294117646</v>
      </c>
      <c r="U42" s="33">
        <v>0</v>
      </c>
      <c r="V42" s="33">
        <v>0</v>
      </c>
      <c r="W42" s="33">
        <v>19.719647058823526</v>
      </c>
      <c r="X42" s="33">
        <v>1.2463529411764707</v>
      </c>
      <c r="Y42" s="33">
        <v>13.012823529411763</v>
      </c>
      <c r="Z42" s="33">
        <v>0.71847058823529408</v>
      </c>
      <c r="AA42" s="33">
        <v>0.77023529411764702</v>
      </c>
      <c r="AB42" s="33">
        <v>1.218941176470588</v>
      </c>
      <c r="AC42" s="43">
        <v>0</v>
      </c>
      <c r="AD42" s="33">
        <v>0.58235294117647052</v>
      </c>
      <c r="AE42" s="21">
        <v>0.15847058823529409</v>
      </c>
      <c r="AF42" s="33">
        <v>5.6352941176470585E-2</v>
      </c>
      <c r="AG42" s="33">
        <v>0.12717647058823528</v>
      </c>
      <c r="AH42" s="33">
        <v>1.7294117647058821E-2</v>
      </c>
      <c r="AI42" s="33">
        <v>0.24905882352941175</v>
      </c>
    </row>
    <row r="43" spans="1:35" x14ac:dyDescent="0.3">
      <c r="A43" s="32" t="s">
        <v>1187</v>
      </c>
      <c r="B43" s="20" t="s">
        <v>1188</v>
      </c>
      <c r="C43" s="20" t="s">
        <v>261</v>
      </c>
      <c r="D43" s="20" t="s">
        <v>284</v>
      </c>
      <c r="E43" s="20">
        <v>6</v>
      </c>
      <c r="F43" s="20" t="s">
        <v>1100</v>
      </c>
      <c r="G43" s="46">
        <v>29.000000000000135</v>
      </c>
      <c r="H43" s="41" t="s">
        <v>1472</v>
      </c>
      <c r="I43" s="44">
        <f>SUM(J43:AI43)</f>
        <v>105.98529411764704</v>
      </c>
      <c r="J43" s="33">
        <v>0.25635294117647056</v>
      </c>
      <c r="K43" s="33">
        <v>0.60388235294117643</v>
      </c>
      <c r="L43" s="33">
        <v>1.719529411764706</v>
      </c>
      <c r="M43" s="43">
        <v>0</v>
      </c>
      <c r="N43" s="33">
        <v>1.6458823529411764</v>
      </c>
      <c r="O43" s="33">
        <v>31.870588235294115</v>
      </c>
      <c r="P43" s="33">
        <v>5.669999999999999</v>
      </c>
      <c r="Q43" s="33">
        <v>7.7725882352941165</v>
      </c>
      <c r="R43" s="33">
        <v>0.80976470588235294</v>
      </c>
      <c r="S43" s="33">
        <v>0.57694117647058818</v>
      </c>
      <c r="T43" s="33">
        <v>11.310941176470587</v>
      </c>
      <c r="U43" s="33">
        <v>0</v>
      </c>
      <c r="V43" s="33">
        <v>0</v>
      </c>
      <c r="W43" s="33">
        <v>18.969529411764704</v>
      </c>
      <c r="X43" s="33">
        <v>1.6756470588235293</v>
      </c>
      <c r="Y43" s="33">
        <v>18.828352941176469</v>
      </c>
      <c r="Z43" s="33">
        <v>1.0643529411764705</v>
      </c>
      <c r="AA43" s="33">
        <v>1.0378823529411765</v>
      </c>
      <c r="AB43" s="33">
        <v>0.78364705882352936</v>
      </c>
      <c r="AC43" s="43">
        <v>0</v>
      </c>
      <c r="AD43" s="33">
        <v>0.67635294117647049</v>
      </c>
      <c r="AE43" s="21">
        <v>0.17894117647058821</v>
      </c>
      <c r="AF43" s="33">
        <v>6.4470588235294113E-2</v>
      </c>
      <c r="AG43" s="33">
        <v>0.23105882352941176</v>
      </c>
      <c r="AH43" s="33">
        <v>3.0470588235294114E-2</v>
      </c>
      <c r="AI43" s="33">
        <v>0.20811764705882352</v>
      </c>
    </row>
    <row r="44" spans="1:35" x14ac:dyDescent="0.3">
      <c r="A44" s="32" t="s">
        <v>1189</v>
      </c>
      <c r="B44" s="20" t="s">
        <v>1190</v>
      </c>
      <c r="C44" s="20" t="s">
        <v>261</v>
      </c>
      <c r="D44" s="20" t="s">
        <v>286</v>
      </c>
      <c r="E44" s="20">
        <v>6</v>
      </c>
      <c r="F44" s="20" t="s">
        <v>1100</v>
      </c>
      <c r="G44" s="46">
        <v>26.999999999999247</v>
      </c>
      <c r="H44" s="41" t="s">
        <v>1472</v>
      </c>
      <c r="I44" s="44">
        <f>SUM(J44:AI44)</f>
        <v>93.903647058823537</v>
      </c>
      <c r="J44" s="33">
        <v>0.28082352941176469</v>
      </c>
      <c r="K44" s="33">
        <v>0.76894117647058824</v>
      </c>
      <c r="L44" s="33">
        <v>2.1059999999999999</v>
      </c>
      <c r="M44" s="43">
        <v>0</v>
      </c>
      <c r="N44" s="33">
        <v>2.2877647058823527</v>
      </c>
      <c r="O44" s="33">
        <v>31.227294117647055</v>
      </c>
      <c r="P44" s="33">
        <v>10.521882352941176</v>
      </c>
      <c r="Q44" s="33">
        <v>6.7723529411764698</v>
      </c>
      <c r="R44" s="33">
        <v>0.30505882352941177</v>
      </c>
      <c r="S44" s="33">
        <v>0.80247058823529416</v>
      </c>
      <c r="T44" s="33">
        <v>10.597882352941175</v>
      </c>
      <c r="U44" s="33">
        <v>0</v>
      </c>
      <c r="V44" s="33">
        <v>0</v>
      </c>
      <c r="W44" s="33">
        <v>12.931176470588236</v>
      </c>
      <c r="X44" s="33">
        <v>1.5078823529411765</v>
      </c>
      <c r="Y44" s="33">
        <v>10.664470588235293</v>
      </c>
      <c r="Z44" s="33">
        <v>0.628235294117647</v>
      </c>
      <c r="AA44" s="33">
        <v>0.98611764705882354</v>
      </c>
      <c r="AB44" s="33">
        <v>0.48023529411764704</v>
      </c>
      <c r="AC44" s="43">
        <v>0</v>
      </c>
      <c r="AD44" s="33">
        <v>0.5716470588235294</v>
      </c>
      <c r="AE44" s="21">
        <v>0.14752941176470588</v>
      </c>
      <c r="AF44" s="33">
        <v>4.058823529411764E-2</v>
      </c>
      <c r="AG44" s="33">
        <v>0.17082352941176468</v>
      </c>
      <c r="AH44" s="33">
        <v>2.764705882352941E-2</v>
      </c>
      <c r="AI44" s="33">
        <v>7.6823529411764707E-2</v>
      </c>
    </row>
    <row r="45" spans="1:35" x14ac:dyDescent="0.3">
      <c r="A45" s="32" t="s">
        <v>1181</v>
      </c>
      <c r="B45" s="20" t="s">
        <v>1182</v>
      </c>
      <c r="C45" s="20" t="s">
        <v>261</v>
      </c>
      <c r="D45" s="20" t="s">
        <v>290</v>
      </c>
      <c r="E45" s="20">
        <v>6</v>
      </c>
      <c r="F45" s="20" t="s">
        <v>1100</v>
      </c>
      <c r="G45" s="46">
        <v>37.000000000000362</v>
      </c>
      <c r="H45" s="41" t="s">
        <v>1472</v>
      </c>
      <c r="I45" s="44">
        <f>SUM(J45:AI45)</f>
        <v>97.323411764705867</v>
      </c>
      <c r="J45" s="33">
        <v>0.28741176470588231</v>
      </c>
      <c r="K45" s="33">
        <v>0.64917647058823524</v>
      </c>
      <c r="L45" s="33">
        <v>3.331647058823529</v>
      </c>
      <c r="M45" s="43">
        <v>0</v>
      </c>
      <c r="N45" s="33">
        <v>2.4881176470588233</v>
      </c>
      <c r="O45" s="33">
        <v>35.873176470588234</v>
      </c>
      <c r="P45" s="33">
        <v>5.4061176470588226</v>
      </c>
      <c r="Q45" s="33">
        <v>7.429176470588235</v>
      </c>
      <c r="R45" s="33">
        <v>0.53011764705882347</v>
      </c>
      <c r="S45" s="33">
        <v>1.3976470588235292</v>
      </c>
      <c r="T45" s="33">
        <v>10.260352941176469</v>
      </c>
      <c r="U45" s="33">
        <v>0</v>
      </c>
      <c r="V45" s="33">
        <v>0</v>
      </c>
      <c r="W45" s="33">
        <v>12.753058823529409</v>
      </c>
      <c r="X45" s="33">
        <v>1.9887058823529409</v>
      </c>
      <c r="Y45" s="33">
        <v>11.676705882352939</v>
      </c>
      <c r="Z45" s="33">
        <v>0.7176470588235293</v>
      </c>
      <c r="AA45" s="33">
        <v>0.61435294117647055</v>
      </c>
      <c r="AB45" s="33">
        <v>0.74458823529411755</v>
      </c>
      <c r="AC45" s="43">
        <v>0</v>
      </c>
      <c r="AD45" s="33">
        <v>0.45129411764705879</v>
      </c>
      <c r="AE45" s="21">
        <v>0.12941176470588234</v>
      </c>
      <c r="AF45" s="33">
        <v>5.28235294117647E-2</v>
      </c>
      <c r="AG45" s="33">
        <v>0.32905882352941174</v>
      </c>
      <c r="AH45" s="33">
        <v>3.7764705882352943E-2</v>
      </c>
      <c r="AI45" s="33">
        <v>0.17505882352941177</v>
      </c>
    </row>
    <row r="46" spans="1:35" x14ac:dyDescent="0.3">
      <c r="A46" s="32" t="s">
        <v>1183</v>
      </c>
      <c r="B46" s="20" t="s">
        <v>1184</v>
      </c>
      <c r="C46" s="20" t="s">
        <v>261</v>
      </c>
      <c r="D46" s="20" t="s">
        <v>292</v>
      </c>
      <c r="E46" s="20">
        <v>6</v>
      </c>
      <c r="F46" s="20" t="s">
        <v>1100</v>
      </c>
      <c r="G46" s="46">
        <v>23.499999999999631</v>
      </c>
      <c r="H46" s="41" t="s">
        <v>1472</v>
      </c>
      <c r="I46" s="44">
        <f>SUM(J46:AI46)</f>
        <v>249.76917647058823</v>
      </c>
      <c r="J46" s="33">
        <v>0.31247058823529411</v>
      </c>
      <c r="K46" s="33">
        <v>0.84399999999999986</v>
      </c>
      <c r="L46" s="33">
        <v>4.0337647058823531</v>
      </c>
      <c r="M46" s="43">
        <v>0</v>
      </c>
      <c r="N46" s="33">
        <v>1.700470588235294</v>
      </c>
      <c r="O46" s="33">
        <v>93.615294117647053</v>
      </c>
      <c r="P46" s="33">
        <v>35.77376470588235</v>
      </c>
      <c r="Q46" s="33">
        <v>19.483647058823529</v>
      </c>
      <c r="R46" s="33">
        <v>0.99882352941176467</v>
      </c>
      <c r="S46" s="33">
        <v>1.5361176470588234</v>
      </c>
      <c r="T46" s="33">
        <v>25.906588235294116</v>
      </c>
      <c r="U46" s="33">
        <v>0</v>
      </c>
      <c r="V46" s="33">
        <v>0</v>
      </c>
      <c r="W46" s="33">
        <v>42.958235294117642</v>
      </c>
      <c r="X46" s="33">
        <v>5.4670588235294115</v>
      </c>
      <c r="Y46" s="33">
        <v>11.531294117647059</v>
      </c>
      <c r="Z46" s="33">
        <v>0.55717647058823527</v>
      </c>
      <c r="AA46" s="33">
        <v>2.5891764705882352</v>
      </c>
      <c r="AB46" s="33">
        <v>0.80823529411764694</v>
      </c>
      <c r="AC46" s="43">
        <v>0</v>
      </c>
      <c r="AD46" s="33">
        <v>0.99117647058823533</v>
      </c>
      <c r="AE46" s="21">
        <v>0.26317647058823529</v>
      </c>
      <c r="AF46" s="33">
        <v>6.8000000000000005E-2</v>
      </c>
      <c r="AG46" s="33">
        <v>0.12576470588235292</v>
      </c>
      <c r="AH46" s="33">
        <v>4.2588235294117642E-2</v>
      </c>
      <c r="AI46" s="33">
        <v>0.16235294117647056</v>
      </c>
    </row>
    <row r="47" spans="1:35" x14ac:dyDescent="0.3">
      <c r="A47" s="32" t="s">
        <v>1185</v>
      </c>
      <c r="B47" s="20" t="s">
        <v>1186</v>
      </c>
      <c r="C47" s="20" t="s">
        <v>261</v>
      </c>
      <c r="D47" s="20" t="s">
        <v>288</v>
      </c>
      <c r="E47" s="20">
        <v>6</v>
      </c>
      <c r="F47" s="20" t="s">
        <v>1100</v>
      </c>
      <c r="G47" s="46">
        <v>40.000000000000036</v>
      </c>
      <c r="H47" s="41" t="s">
        <v>1472</v>
      </c>
      <c r="I47" s="44">
        <f>SUM(J47:AI47)</f>
        <v>166.785294117647</v>
      </c>
      <c r="J47" s="33">
        <v>0.30494117647058822</v>
      </c>
      <c r="K47" s="33">
        <v>0.75494117647058823</v>
      </c>
      <c r="L47" s="33">
        <v>4.1815294117647062</v>
      </c>
      <c r="M47" s="43">
        <v>0</v>
      </c>
      <c r="N47" s="33">
        <v>2.2745882352941176</v>
      </c>
      <c r="O47" s="33">
        <v>63.259764705882354</v>
      </c>
      <c r="P47" s="33">
        <v>15.860117647058821</v>
      </c>
      <c r="Q47" s="33">
        <v>10.447411764705882</v>
      </c>
      <c r="R47" s="33">
        <v>0.9734117647058822</v>
      </c>
      <c r="S47" s="33">
        <v>1.986470588235294</v>
      </c>
      <c r="T47" s="33">
        <v>19.010588235294115</v>
      </c>
      <c r="U47" s="33">
        <v>0</v>
      </c>
      <c r="V47" s="33">
        <v>0</v>
      </c>
      <c r="W47" s="33">
        <v>25.324588235294115</v>
      </c>
      <c r="X47" s="33">
        <v>3.5065882352941173</v>
      </c>
      <c r="Y47" s="33">
        <v>12.885882352941175</v>
      </c>
      <c r="Z47" s="33">
        <v>0.61964705882352933</v>
      </c>
      <c r="AA47" s="33">
        <v>1.7930588235294116</v>
      </c>
      <c r="AB47" s="33">
        <v>2.0661176470588232</v>
      </c>
      <c r="AC47" s="43">
        <v>0</v>
      </c>
      <c r="AD47" s="33">
        <v>0.78599999999999992</v>
      </c>
      <c r="AE47" s="21">
        <v>0.18635294117647058</v>
      </c>
      <c r="AF47" s="33">
        <v>8.5176470588235284E-2</v>
      </c>
      <c r="AG47" s="33">
        <v>0.16588235294117645</v>
      </c>
      <c r="AH47" s="33">
        <v>5.7529411764705878E-2</v>
      </c>
      <c r="AI47" s="33">
        <v>0.25470588235294117</v>
      </c>
    </row>
    <row r="48" spans="1:35" x14ac:dyDescent="0.3">
      <c r="A48" s="32" t="s">
        <v>1191</v>
      </c>
      <c r="B48" s="20" t="s">
        <v>1192</v>
      </c>
      <c r="C48" s="20" t="s">
        <v>20</v>
      </c>
      <c r="D48" s="20" t="s">
        <v>21</v>
      </c>
      <c r="E48" s="20">
        <v>0</v>
      </c>
      <c r="F48" s="20" t="s">
        <v>1193</v>
      </c>
      <c r="G48" s="46">
        <v>12.999999999999678</v>
      </c>
      <c r="H48" s="41" t="s">
        <v>1472</v>
      </c>
      <c r="I48" s="44">
        <f>SUM(J48:AI48)</f>
        <v>130.80094117647056</v>
      </c>
      <c r="J48" s="33">
        <v>0.76976470588235291</v>
      </c>
      <c r="K48" s="33">
        <v>0.51094117647058823</v>
      </c>
      <c r="L48" s="33">
        <v>0.61482352941176466</v>
      </c>
      <c r="M48" s="43">
        <v>0</v>
      </c>
      <c r="N48" s="33">
        <v>0.18376470588235294</v>
      </c>
      <c r="O48" s="33">
        <v>31.035999999999994</v>
      </c>
      <c r="P48" s="33">
        <v>0</v>
      </c>
      <c r="Q48" s="33">
        <v>0</v>
      </c>
      <c r="R48" s="33">
        <v>0.9205882352941176</v>
      </c>
      <c r="S48" s="33">
        <v>0.44823529411764707</v>
      </c>
      <c r="T48" s="33">
        <v>19.63564705882353</v>
      </c>
      <c r="U48" s="33">
        <v>0</v>
      </c>
      <c r="V48" s="33">
        <v>0</v>
      </c>
      <c r="W48" s="33">
        <v>13.535058823529409</v>
      </c>
      <c r="X48" s="33">
        <v>1.5712941176470587</v>
      </c>
      <c r="Y48" s="33">
        <v>43.407411764705884</v>
      </c>
      <c r="Z48" s="33">
        <v>1.6932941176470586</v>
      </c>
      <c r="AA48" s="33">
        <v>1.6308235294117646</v>
      </c>
      <c r="AB48" s="33">
        <v>11.045294117647057</v>
      </c>
      <c r="AC48" s="43">
        <v>0</v>
      </c>
      <c r="AD48" s="33">
        <v>0.89941176470588236</v>
      </c>
      <c r="AE48" s="21">
        <v>0.15023529411764705</v>
      </c>
      <c r="AF48" s="33">
        <v>9.6588235294117641E-2</v>
      </c>
      <c r="AG48" s="33">
        <v>0.59047058823529408</v>
      </c>
      <c r="AH48" s="33">
        <v>7.4117647058823524E-2</v>
      </c>
      <c r="AI48" s="33">
        <v>1.9871764705882351</v>
      </c>
    </row>
    <row r="49" spans="1:35" x14ac:dyDescent="0.3">
      <c r="A49" s="32" t="s">
        <v>1222</v>
      </c>
      <c r="B49" s="20" t="s">
        <v>1223</v>
      </c>
      <c r="C49" s="20" t="s">
        <v>146</v>
      </c>
      <c r="D49" s="20" t="s">
        <v>141</v>
      </c>
      <c r="E49" s="20">
        <v>0</v>
      </c>
      <c r="F49" s="20" t="s">
        <v>1193</v>
      </c>
      <c r="G49" s="46">
        <v>10.499999999999954</v>
      </c>
      <c r="H49" s="41" t="s">
        <v>1472</v>
      </c>
      <c r="I49" s="44">
        <f>SUM(J49:AI49)</f>
        <v>263.59482352941177</v>
      </c>
      <c r="J49" s="33">
        <v>0.24964705882352939</v>
      </c>
      <c r="K49" s="33">
        <v>0.34858823529411764</v>
      </c>
      <c r="L49" s="33">
        <v>0.84870588235294109</v>
      </c>
      <c r="M49" s="43">
        <v>0</v>
      </c>
      <c r="N49" s="33">
        <v>0.50800000000000001</v>
      </c>
      <c r="O49" s="33">
        <v>58.964941176470582</v>
      </c>
      <c r="P49" s="33">
        <v>0</v>
      </c>
      <c r="Q49" s="33">
        <v>0</v>
      </c>
      <c r="R49" s="33">
        <v>1.3134117647058823</v>
      </c>
      <c r="S49" s="33">
        <v>0.97435294117647053</v>
      </c>
      <c r="T49" s="33">
        <v>43.186705882352939</v>
      </c>
      <c r="U49" s="33">
        <v>0</v>
      </c>
      <c r="V49" s="33">
        <v>0</v>
      </c>
      <c r="W49" s="33">
        <v>22.894705882352941</v>
      </c>
      <c r="X49" s="33">
        <v>3.8656470588235288</v>
      </c>
      <c r="Y49" s="33">
        <v>94.215999999999994</v>
      </c>
      <c r="Z49" s="33">
        <v>2.5819999999999999</v>
      </c>
      <c r="AA49" s="33">
        <v>0.67211764705882349</v>
      </c>
      <c r="AB49" s="33">
        <v>27.142941176470586</v>
      </c>
      <c r="AC49" s="43">
        <v>0</v>
      </c>
      <c r="AD49" s="33">
        <v>0.53541176470588236</v>
      </c>
      <c r="AE49" s="21">
        <v>0.1451764705882353</v>
      </c>
      <c r="AF49" s="33">
        <v>0.36552941176470588</v>
      </c>
      <c r="AG49" s="33">
        <v>0.28129411764705881</v>
      </c>
      <c r="AH49" s="33">
        <v>0.20082352941176468</v>
      </c>
      <c r="AI49" s="33">
        <v>4.2988235294117647</v>
      </c>
    </row>
    <row r="50" spans="1:35" x14ac:dyDescent="0.3">
      <c r="A50" s="32" t="s">
        <v>1252</v>
      </c>
      <c r="B50" s="20" t="s">
        <v>1253</v>
      </c>
      <c r="C50" s="20" t="s">
        <v>261</v>
      </c>
      <c r="D50" s="20" t="s">
        <v>262</v>
      </c>
      <c r="E50" s="20">
        <v>0</v>
      </c>
      <c r="F50" s="20" t="s">
        <v>1193</v>
      </c>
      <c r="G50" s="46">
        <v>3.4999999999996145</v>
      </c>
      <c r="H50" s="41" t="s">
        <v>1472</v>
      </c>
      <c r="I50" s="44">
        <f>SUM(J50:AI50)</f>
        <v>187.04211764705889</v>
      </c>
      <c r="J50" s="33">
        <v>0.20152941176470585</v>
      </c>
      <c r="K50" s="33">
        <v>0.38929411764705879</v>
      </c>
      <c r="L50" s="33">
        <v>0.70917647058823519</v>
      </c>
      <c r="M50" s="43">
        <v>0</v>
      </c>
      <c r="N50" s="33">
        <v>0.18729411764705881</v>
      </c>
      <c r="O50" s="33">
        <v>46.919411764705877</v>
      </c>
      <c r="P50" s="33">
        <v>0</v>
      </c>
      <c r="Q50" s="33">
        <v>0</v>
      </c>
      <c r="R50" s="33">
        <v>2.0867058823529412</v>
      </c>
      <c r="S50" s="33">
        <v>0.4790588235294117</v>
      </c>
      <c r="T50" s="33">
        <v>28.775294117647057</v>
      </c>
      <c r="U50" s="33">
        <v>0</v>
      </c>
      <c r="V50" s="33">
        <v>0</v>
      </c>
      <c r="W50" s="33">
        <v>18.597176470588234</v>
      </c>
      <c r="X50" s="33">
        <v>3.0821176470588232</v>
      </c>
      <c r="Y50" s="33">
        <v>60.597882352941177</v>
      </c>
      <c r="Z50" s="33">
        <v>1.4750588235294115</v>
      </c>
      <c r="AA50" s="33">
        <v>0.63447058823529401</v>
      </c>
      <c r="AB50" s="33">
        <v>18.361058823529408</v>
      </c>
      <c r="AC50" s="43">
        <v>0</v>
      </c>
      <c r="AD50" s="33">
        <v>0.43305882352941177</v>
      </c>
      <c r="AE50" s="21">
        <v>0.11517647058823528</v>
      </c>
      <c r="AF50" s="33">
        <v>0.14705882352941177</v>
      </c>
      <c r="AG50" s="33">
        <v>0.20411764705882351</v>
      </c>
      <c r="AH50" s="33">
        <v>0.12823529411764706</v>
      </c>
      <c r="AI50" s="33">
        <v>3.5189411764705878</v>
      </c>
    </row>
    <row r="51" spans="1:35" x14ac:dyDescent="0.3">
      <c r="A51" s="32" t="s">
        <v>1200</v>
      </c>
      <c r="B51" s="20" t="s">
        <v>1201</v>
      </c>
      <c r="C51" s="20" t="s">
        <v>20</v>
      </c>
      <c r="D51" s="20" t="s">
        <v>23</v>
      </c>
      <c r="E51" s="20">
        <v>1</v>
      </c>
      <c r="F51" s="20" t="s">
        <v>1193</v>
      </c>
      <c r="G51" s="46">
        <v>22.000000000000906</v>
      </c>
      <c r="H51" s="41" t="s">
        <v>1472</v>
      </c>
      <c r="I51" s="44">
        <f>SUM(J51:AI51)</f>
        <v>161.22752941176466</v>
      </c>
      <c r="J51" s="33">
        <v>0.28423529411764703</v>
      </c>
      <c r="K51" s="33">
        <v>0.69035294117647061</v>
      </c>
      <c r="L51" s="33">
        <v>0.38752941176470584</v>
      </c>
      <c r="M51" s="43">
        <v>0</v>
      </c>
      <c r="N51" s="33">
        <v>0.14894117647058822</v>
      </c>
      <c r="O51" s="33">
        <v>33.376941176470588</v>
      </c>
      <c r="P51" s="33">
        <v>2.7483529411764707</v>
      </c>
      <c r="Q51" s="33">
        <v>3.8848235294117646</v>
      </c>
      <c r="R51" s="33">
        <v>1.1205882352941177</v>
      </c>
      <c r="S51" s="33">
        <v>0.31129411764705883</v>
      </c>
      <c r="T51" s="33">
        <v>13.695529411764705</v>
      </c>
      <c r="U51" s="33">
        <v>0</v>
      </c>
      <c r="V51" s="33">
        <v>0</v>
      </c>
      <c r="W51" s="33">
        <v>49.257058823529405</v>
      </c>
      <c r="X51" s="33">
        <v>2.57</v>
      </c>
      <c r="Y51" s="33">
        <v>42.389882352941171</v>
      </c>
      <c r="Z51" s="33">
        <v>2.4037647058823528</v>
      </c>
      <c r="AA51" s="33">
        <v>0.68447058823529405</v>
      </c>
      <c r="AB51" s="33">
        <v>5.4736470588235289</v>
      </c>
      <c r="AC51" s="43">
        <v>0</v>
      </c>
      <c r="AD51" s="33">
        <v>0.4070588235294117</v>
      </c>
      <c r="AE51" s="21">
        <v>9.3764705882352931E-2</v>
      </c>
      <c r="AF51" s="33">
        <v>5.4470588235294111E-2</v>
      </c>
      <c r="AG51" s="33">
        <v>8.905882352941176E-2</v>
      </c>
      <c r="AH51" s="33">
        <v>5.9529411764705879E-2</v>
      </c>
      <c r="AI51" s="33">
        <v>1.096235294117647</v>
      </c>
    </row>
    <row r="52" spans="1:35" x14ac:dyDescent="0.3">
      <c r="A52" s="32" t="s">
        <v>1202</v>
      </c>
      <c r="B52" s="20" t="s">
        <v>1203</v>
      </c>
      <c r="C52" s="20" t="s">
        <v>20</v>
      </c>
      <c r="D52" s="20" t="s">
        <v>25</v>
      </c>
      <c r="E52" s="20">
        <v>1</v>
      </c>
      <c r="F52" s="20" t="s">
        <v>1193</v>
      </c>
      <c r="G52" s="46">
        <v>12.500000000000844</v>
      </c>
      <c r="H52" s="41" t="s">
        <v>1472</v>
      </c>
      <c r="I52" s="44">
        <f>SUM(J52:AI52)</f>
        <v>709.47823529411755</v>
      </c>
      <c r="J52" s="33">
        <v>0.23494117647058824</v>
      </c>
      <c r="K52" s="33">
        <v>0.24305882352941177</v>
      </c>
      <c r="L52" s="33">
        <v>0.52811764705882347</v>
      </c>
      <c r="M52" s="43">
        <v>0</v>
      </c>
      <c r="N52" s="33">
        <v>0.20023529411764704</v>
      </c>
      <c r="O52" s="33">
        <v>110.54235294117647</v>
      </c>
      <c r="P52" s="33">
        <v>26.521764705882351</v>
      </c>
      <c r="Q52" s="33">
        <v>18.041647058823528</v>
      </c>
      <c r="R52" s="33">
        <v>5.9342352941176468</v>
      </c>
      <c r="S52" s="33">
        <v>0.78258823529411758</v>
      </c>
      <c r="T52" s="33">
        <v>43.489294117647056</v>
      </c>
      <c r="U52" s="33">
        <v>4.1529411764705884E-2</v>
      </c>
      <c r="V52" s="33">
        <v>3.8352941176470583E-2</v>
      </c>
      <c r="W52" s="33">
        <v>376.44164705882349</v>
      </c>
      <c r="X52" s="33">
        <v>14.847764705882351</v>
      </c>
      <c r="Y52" s="33">
        <v>86.201294117647052</v>
      </c>
      <c r="Z52" s="33">
        <v>4.0194117647058825</v>
      </c>
      <c r="AA52" s="33">
        <v>2.2841176470588231</v>
      </c>
      <c r="AB52" s="33">
        <v>14.874588235294116</v>
      </c>
      <c r="AC52" s="43">
        <v>0</v>
      </c>
      <c r="AD52" s="33">
        <v>0.71023529411764696</v>
      </c>
      <c r="AE52" s="21">
        <v>0.1552941176470588</v>
      </c>
      <c r="AF52" s="33">
        <v>0.11423529411764705</v>
      </c>
      <c r="AG52" s="33">
        <v>7.094117647058823E-2</v>
      </c>
      <c r="AH52" s="33">
        <v>0.15270588235294116</v>
      </c>
      <c r="AI52" s="33">
        <v>3.0078823529411762</v>
      </c>
    </row>
    <row r="53" spans="1:35" x14ac:dyDescent="0.3">
      <c r="A53" s="32" t="s">
        <v>1194</v>
      </c>
      <c r="B53" s="20" t="s">
        <v>1195</v>
      </c>
      <c r="C53" s="20" t="s">
        <v>20</v>
      </c>
      <c r="D53" s="20" t="s">
        <v>27</v>
      </c>
      <c r="E53" s="20">
        <v>1</v>
      </c>
      <c r="F53" s="20" t="s">
        <v>1193</v>
      </c>
      <c r="G53" s="46">
        <v>12.499999999999734</v>
      </c>
      <c r="H53" s="41" t="s">
        <v>1472</v>
      </c>
      <c r="I53" s="44">
        <f>SUM(J53:AI53)</f>
        <v>519.30505882352941</v>
      </c>
      <c r="J53" s="33">
        <v>0.22741176470588234</v>
      </c>
      <c r="K53" s="33">
        <v>0.628235294117647</v>
      </c>
      <c r="L53" s="33">
        <v>1.0777647058823527</v>
      </c>
      <c r="M53" s="43">
        <v>0</v>
      </c>
      <c r="N53" s="33">
        <v>0.23364705882352937</v>
      </c>
      <c r="O53" s="33">
        <v>95.777294117647045</v>
      </c>
      <c r="P53" s="33">
        <v>12.340352941176469</v>
      </c>
      <c r="Q53" s="33">
        <v>9.0985882352941161</v>
      </c>
      <c r="R53" s="33">
        <v>5.1671764705882346</v>
      </c>
      <c r="S53" s="33">
        <v>0.95341176470588229</v>
      </c>
      <c r="T53" s="33">
        <v>58.140352941176467</v>
      </c>
      <c r="U53" s="33">
        <v>0.17858823529411763</v>
      </c>
      <c r="V53" s="33">
        <v>7.8941176470588223E-2</v>
      </c>
      <c r="W53" s="33">
        <v>178.73541176470587</v>
      </c>
      <c r="X53" s="33">
        <v>9.0862352941176461</v>
      </c>
      <c r="Y53" s="33">
        <v>108.11341176470589</v>
      </c>
      <c r="Z53" s="33">
        <v>2.6468235294117646</v>
      </c>
      <c r="AA53" s="33">
        <v>0.96929411764705875</v>
      </c>
      <c r="AB53" s="33">
        <v>28.214235294117646</v>
      </c>
      <c r="AC53" s="43">
        <v>0</v>
      </c>
      <c r="AD53" s="33">
        <v>0.4961176470588235</v>
      </c>
      <c r="AE53" s="21">
        <v>0.15105882352941177</v>
      </c>
      <c r="AF53" s="33">
        <v>0.22423529411764706</v>
      </c>
      <c r="AG53" s="33">
        <v>5.28235294117647E-2</v>
      </c>
      <c r="AH53" s="33">
        <v>0.20047058823529409</v>
      </c>
      <c r="AI53" s="33">
        <v>6.5131764705882347</v>
      </c>
    </row>
    <row r="54" spans="1:35" x14ac:dyDescent="0.3">
      <c r="A54" s="32" t="s">
        <v>1196</v>
      </c>
      <c r="B54" s="20" t="s">
        <v>1197</v>
      </c>
      <c r="C54" s="20" t="s">
        <v>20</v>
      </c>
      <c r="D54" s="20" t="s">
        <v>29</v>
      </c>
      <c r="E54" s="20">
        <v>1</v>
      </c>
      <c r="F54" s="20" t="s">
        <v>1193</v>
      </c>
      <c r="G54" s="46">
        <v>17.999999999999126</v>
      </c>
      <c r="H54" s="41" t="s">
        <v>1472</v>
      </c>
      <c r="I54" s="44">
        <f>SUM(J54:AI54)</f>
        <v>168.48529411764704</v>
      </c>
      <c r="J54" s="33">
        <v>0.24258823529411763</v>
      </c>
      <c r="K54" s="33">
        <v>0.57823529411764696</v>
      </c>
      <c r="L54" s="33">
        <v>0.37435294117647056</v>
      </c>
      <c r="M54" s="43">
        <v>0</v>
      </c>
      <c r="N54" s="33">
        <v>0.15894117647058822</v>
      </c>
      <c r="O54" s="33">
        <v>32.980588235294114</v>
      </c>
      <c r="P54" s="33">
        <v>7.0268235294117645</v>
      </c>
      <c r="Q54" s="33">
        <v>7.0097647058823522</v>
      </c>
      <c r="R54" s="33">
        <v>0.98399999999999999</v>
      </c>
      <c r="S54" s="33">
        <v>0.29305882352941176</v>
      </c>
      <c r="T54" s="33">
        <v>11.711176470588233</v>
      </c>
      <c r="U54" s="33">
        <v>0</v>
      </c>
      <c r="V54" s="33">
        <v>0</v>
      </c>
      <c r="W54" s="33">
        <v>70.845647058823531</v>
      </c>
      <c r="X54" s="33">
        <v>2.8721176470588237</v>
      </c>
      <c r="Y54" s="33">
        <v>26.097058823529409</v>
      </c>
      <c r="Z54" s="33">
        <v>1.3163529411764705</v>
      </c>
      <c r="AA54" s="33">
        <v>1.112705882352941</v>
      </c>
      <c r="AB54" s="33">
        <v>3.3330588235294116</v>
      </c>
      <c r="AC54" s="43">
        <v>0</v>
      </c>
      <c r="AD54" s="33">
        <v>0.50788235294117645</v>
      </c>
      <c r="AE54" s="21">
        <v>0.10494117647058823</v>
      </c>
      <c r="AF54" s="33">
        <v>4.0823529411764703E-2</v>
      </c>
      <c r="AG54" s="33">
        <v>0.12388235294117646</v>
      </c>
      <c r="AH54" s="33">
        <v>5.0588235294117642E-2</v>
      </c>
      <c r="AI54" s="33">
        <v>0.7207058823529412</v>
      </c>
    </row>
    <row r="55" spans="1:35" x14ac:dyDescent="0.3">
      <c r="A55" s="32" t="s">
        <v>1198</v>
      </c>
      <c r="B55" s="20" t="s">
        <v>1199</v>
      </c>
      <c r="C55" s="20" t="s">
        <v>20</v>
      </c>
      <c r="D55" s="20" t="s">
        <v>31</v>
      </c>
      <c r="E55" s="20">
        <v>1</v>
      </c>
      <c r="F55" s="20" t="s">
        <v>1193</v>
      </c>
      <c r="G55" s="46">
        <v>31.999999999999805</v>
      </c>
      <c r="H55" s="41" t="s">
        <v>1472</v>
      </c>
      <c r="I55" s="44">
        <f>SUM(J55:AI55)</f>
        <v>433.58223529411765</v>
      </c>
      <c r="J55" s="33">
        <v>0.22529411764705881</v>
      </c>
      <c r="K55" s="33">
        <v>0.38129411764705878</v>
      </c>
      <c r="L55" s="33">
        <v>0.43023529411764699</v>
      </c>
      <c r="M55" s="43">
        <v>0</v>
      </c>
      <c r="N55" s="33">
        <v>0.1416470588235294</v>
      </c>
      <c r="O55" s="33">
        <v>68.322941176470579</v>
      </c>
      <c r="P55" s="33">
        <v>12.225647058823528</v>
      </c>
      <c r="Q55" s="33">
        <v>15.964470588235294</v>
      </c>
      <c r="R55" s="33">
        <v>2.9458823529411764</v>
      </c>
      <c r="S55" s="33">
        <v>0.47399999999999998</v>
      </c>
      <c r="T55" s="33">
        <v>26.623999999999999</v>
      </c>
      <c r="U55" s="33">
        <v>2.1882352941176471E-2</v>
      </c>
      <c r="V55" s="33">
        <v>0</v>
      </c>
      <c r="W55" s="33">
        <v>225.00211764705881</v>
      </c>
      <c r="X55" s="33">
        <v>8.9498823529411755</v>
      </c>
      <c r="Y55" s="33">
        <v>57.205882352941167</v>
      </c>
      <c r="Z55" s="33">
        <v>3.1414117647058819</v>
      </c>
      <c r="AA55" s="33">
        <v>1.5135294117647056</v>
      </c>
      <c r="AB55" s="33">
        <v>7.6997647058823517</v>
      </c>
      <c r="AC55" s="43">
        <v>0</v>
      </c>
      <c r="AD55" s="33">
        <v>0.48823529411764705</v>
      </c>
      <c r="AE55" s="21">
        <v>0.11682352941176469</v>
      </c>
      <c r="AF55" s="33">
        <v>6.2E-2</v>
      </c>
      <c r="AG55" s="33">
        <v>5.9411764705882344E-2</v>
      </c>
      <c r="AH55" s="33">
        <v>5.9058823529411761E-2</v>
      </c>
      <c r="AI55" s="33">
        <v>1.5268235294117647</v>
      </c>
    </row>
    <row r="56" spans="1:35" x14ac:dyDescent="0.3">
      <c r="A56" s="32" t="s">
        <v>1224</v>
      </c>
      <c r="B56" s="20" t="s">
        <v>1225</v>
      </c>
      <c r="C56" s="20" t="s">
        <v>146</v>
      </c>
      <c r="D56" s="20" t="s">
        <v>146</v>
      </c>
      <c r="E56" s="20">
        <v>1</v>
      </c>
      <c r="F56" s="20" t="s">
        <v>1193</v>
      </c>
      <c r="G56" s="46">
        <v>1.9999999999997797</v>
      </c>
      <c r="H56" s="41" t="s">
        <v>1472</v>
      </c>
      <c r="I56" s="44">
        <f>SUM(J56:AI56)</f>
        <v>274.15023529411752</v>
      </c>
      <c r="J56" s="33">
        <v>0.44858823529411757</v>
      </c>
      <c r="K56" s="33">
        <v>0.63635294117647057</v>
      </c>
      <c r="L56" s="33">
        <v>0.9017647058823528</v>
      </c>
      <c r="M56" s="43">
        <v>0</v>
      </c>
      <c r="N56" s="33">
        <v>0.50811764705882345</v>
      </c>
      <c r="O56" s="33">
        <v>70.522352941176464</v>
      </c>
      <c r="P56" s="33">
        <v>1.6198823529411763</v>
      </c>
      <c r="Q56" s="33">
        <v>1.7738823529411762</v>
      </c>
      <c r="R56" s="33">
        <v>2.3012941176470587</v>
      </c>
      <c r="S56" s="33">
        <v>0.79635294117647049</v>
      </c>
      <c r="T56" s="33">
        <v>30.375529411764706</v>
      </c>
      <c r="U56" s="33">
        <v>7.4941176470588233E-2</v>
      </c>
      <c r="V56" s="33">
        <v>4.3411764705882351E-2</v>
      </c>
      <c r="W56" s="33">
        <v>47.795764705882348</v>
      </c>
      <c r="X56" s="33">
        <v>3.5078823529411762</v>
      </c>
      <c r="Y56" s="33">
        <v>91.211411764705886</v>
      </c>
      <c r="Z56" s="33">
        <v>3.5363529411764705</v>
      </c>
      <c r="AA56" s="33">
        <v>0.60752941176470576</v>
      </c>
      <c r="AB56" s="33">
        <v>13.950823529411764</v>
      </c>
      <c r="AC56" s="43">
        <v>0</v>
      </c>
      <c r="AD56" s="33">
        <v>0.38129411764705878</v>
      </c>
      <c r="AE56" s="21">
        <v>9.0117647058823525E-2</v>
      </c>
      <c r="AF56" s="33">
        <v>0.14482352941176468</v>
      </c>
      <c r="AG56" s="33">
        <v>0.11211764705882353</v>
      </c>
      <c r="AH56" s="33">
        <v>0.15117647058823527</v>
      </c>
      <c r="AI56" s="33">
        <v>2.6584705882352941</v>
      </c>
    </row>
    <row r="57" spans="1:35" x14ac:dyDescent="0.3">
      <c r="A57" s="32" t="s">
        <v>1226</v>
      </c>
      <c r="B57" s="20" t="s">
        <v>1227</v>
      </c>
      <c r="C57" s="20" t="s">
        <v>146</v>
      </c>
      <c r="D57" s="20" t="s">
        <v>149</v>
      </c>
      <c r="E57" s="20">
        <v>1</v>
      </c>
      <c r="F57" s="20" t="s">
        <v>1193</v>
      </c>
      <c r="G57" s="46">
        <v>9.5000000000000639</v>
      </c>
      <c r="H57" s="41" t="s">
        <v>1472</v>
      </c>
      <c r="I57" s="44">
        <f>SUM(J57:AI57)</f>
        <v>552.77847058823545</v>
      </c>
      <c r="J57" s="33">
        <v>0.61752941176470588</v>
      </c>
      <c r="K57" s="33">
        <v>0.66164705882352937</v>
      </c>
      <c r="L57" s="33">
        <v>0.88058823529411756</v>
      </c>
      <c r="M57" s="43">
        <v>0</v>
      </c>
      <c r="N57" s="33">
        <v>0.36294117647058821</v>
      </c>
      <c r="O57" s="33">
        <v>101.35517647058823</v>
      </c>
      <c r="P57" s="33">
        <v>21.985176470588236</v>
      </c>
      <c r="Q57" s="33">
        <v>21.743647058823527</v>
      </c>
      <c r="R57" s="33">
        <v>3.7776470588235291</v>
      </c>
      <c r="S57" s="33">
        <v>0.91117647058823525</v>
      </c>
      <c r="T57" s="33">
        <v>44.40270588235294</v>
      </c>
      <c r="U57" s="33">
        <v>7.3529411764705885E-2</v>
      </c>
      <c r="V57" s="33">
        <v>3.1529411764705882E-2</v>
      </c>
      <c r="W57" s="33">
        <v>232.35258823529412</v>
      </c>
      <c r="X57" s="33">
        <v>9.9149411764705881</v>
      </c>
      <c r="Y57" s="33">
        <v>84.175764705882344</v>
      </c>
      <c r="Z57" s="33">
        <v>2.9885882352941171</v>
      </c>
      <c r="AA57" s="33">
        <v>1.6024705882352939</v>
      </c>
      <c r="AB57" s="33">
        <v>20.60141176470588</v>
      </c>
      <c r="AC57" s="43">
        <v>0</v>
      </c>
      <c r="AD57" s="33">
        <v>0.57470588235294107</v>
      </c>
      <c r="AE57" s="21">
        <v>0.14458823529411763</v>
      </c>
      <c r="AF57" s="33">
        <v>0.15964705882352939</v>
      </c>
      <c r="AG57" s="33">
        <v>7.2470588235294106E-2</v>
      </c>
      <c r="AH57" s="33">
        <v>7.1176470588235285E-2</v>
      </c>
      <c r="AI57" s="33">
        <v>3.3168235294117645</v>
      </c>
    </row>
    <row r="58" spans="1:35" x14ac:dyDescent="0.3">
      <c r="A58" s="32" t="s">
        <v>1230</v>
      </c>
      <c r="B58" s="20" t="s">
        <v>1231</v>
      </c>
      <c r="C58" s="20" t="s">
        <v>146</v>
      </c>
      <c r="D58" s="20" t="s">
        <v>145</v>
      </c>
      <c r="E58" s="20">
        <v>1</v>
      </c>
      <c r="F58" s="20" t="s">
        <v>1193</v>
      </c>
      <c r="G58" s="46">
        <v>29.000000000000135</v>
      </c>
      <c r="H58" s="41" t="s">
        <v>1472</v>
      </c>
      <c r="I58" s="44">
        <f>SUM(J58:AI58)</f>
        <v>489.29788235294109</v>
      </c>
      <c r="J58" s="33">
        <v>0.46305882352941174</v>
      </c>
      <c r="K58" s="33">
        <v>0.48105882352941176</v>
      </c>
      <c r="L58" s="33">
        <v>0.78952941176470581</v>
      </c>
      <c r="M58" s="43">
        <v>0</v>
      </c>
      <c r="N58" s="33">
        <v>0.43223529411764705</v>
      </c>
      <c r="O58" s="33">
        <v>90.556352941176456</v>
      </c>
      <c r="P58" s="33">
        <v>31.14541176470588</v>
      </c>
      <c r="Q58" s="33">
        <v>16.61564705882353</v>
      </c>
      <c r="R58" s="33">
        <v>3.8369411764705879</v>
      </c>
      <c r="S58" s="33">
        <v>0.81847058823529417</v>
      </c>
      <c r="T58" s="33">
        <v>34.366</v>
      </c>
      <c r="U58" s="33">
        <v>0</v>
      </c>
      <c r="V58" s="33">
        <v>0</v>
      </c>
      <c r="W58" s="33">
        <v>212.16352941176467</v>
      </c>
      <c r="X58" s="33">
        <v>10.140588235294116</v>
      </c>
      <c r="Y58" s="33">
        <v>63.445999999999991</v>
      </c>
      <c r="Z58" s="33">
        <v>2.4182352941176468</v>
      </c>
      <c r="AA58" s="33">
        <v>1.7912941176470587</v>
      </c>
      <c r="AB58" s="33">
        <v>16.034588235294116</v>
      </c>
      <c r="AC58" s="43">
        <v>0</v>
      </c>
      <c r="AD58" s="33">
        <v>0.54917647058823527</v>
      </c>
      <c r="AE58" s="21">
        <v>0.13294117647058823</v>
      </c>
      <c r="AF58" s="33">
        <v>0.15694117647058822</v>
      </c>
      <c r="AG58" s="33">
        <v>5.6117647058823522E-2</v>
      </c>
      <c r="AH58" s="33">
        <v>9.9058823529411755E-2</v>
      </c>
      <c r="AI58" s="33">
        <v>2.8047058823529412</v>
      </c>
    </row>
    <row r="59" spans="1:35" x14ac:dyDescent="0.3">
      <c r="A59" s="32" t="s">
        <v>1228</v>
      </c>
      <c r="B59" s="20" t="s">
        <v>1229</v>
      </c>
      <c r="C59" s="20" t="s">
        <v>146</v>
      </c>
      <c r="D59" s="20" t="s">
        <v>143</v>
      </c>
      <c r="E59" s="20">
        <v>1</v>
      </c>
      <c r="F59" s="20" t="s">
        <v>1193</v>
      </c>
      <c r="G59" s="46">
        <v>7.5000000000002842</v>
      </c>
      <c r="H59" s="41" t="s">
        <v>1472</v>
      </c>
      <c r="I59" s="44">
        <f>SUM(J59:AI59)</f>
        <v>598.2199999999998</v>
      </c>
      <c r="J59" s="33">
        <v>0.22470588235294114</v>
      </c>
      <c r="K59" s="33">
        <v>0.33011764705882352</v>
      </c>
      <c r="L59" s="33">
        <v>0.89741176470588224</v>
      </c>
      <c r="M59" s="43">
        <v>0</v>
      </c>
      <c r="N59" s="33">
        <v>0.35799999999999993</v>
      </c>
      <c r="O59" s="33">
        <v>103.78858823529411</v>
      </c>
      <c r="P59" s="33">
        <v>6.045529411764706</v>
      </c>
      <c r="Q59" s="33">
        <v>11.427882352941175</v>
      </c>
      <c r="R59" s="33">
        <v>4.3718823529411761</v>
      </c>
      <c r="S59" s="33">
        <v>1.2209411764705882</v>
      </c>
      <c r="T59" s="33">
        <v>63.863529411764702</v>
      </c>
      <c r="U59" s="33">
        <v>9.6470588235294114E-2</v>
      </c>
      <c r="V59" s="33">
        <v>0.114</v>
      </c>
      <c r="W59" s="33">
        <v>225.08670588235293</v>
      </c>
      <c r="X59" s="33">
        <v>11.292</v>
      </c>
      <c r="Y59" s="33">
        <v>117.57458823529412</v>
      </c>
      <c r="Z59" s="33">
        <v>3.040941176470588</v>
      </c>
      <c r="AA59" s="33">
        <v>1.9614117647058822</v>
      </c>
      <c r="AB59" s="33">
        <v>36.434470588235293</v>
      </c>
      <c r="AC59" s="43">
        <v>0</v>
      </c>
      <c r="AD59" s="33">
        <v>0.78529411764705881</v>
      </c>
      <c r="AE59" s="21">
        <v>0.2104705882352941</v>
      </c>
      <c r="AF59" s="33">
        <v>0.31388235294117645</v>
      </c>
      <c r="AG59" s="33">
        <v>0.12858823529411764</v>
      </c>
      <c r="AH59" s="33">
        <v>0.38423529411764706</v>
      </c>
      <c r="AI59" s="33">
        <v>8.2683529411764702</v>
      </c>
    </row>
    <row r="60" spans="1:35" x14ac:dyDescent="0.3">
      <c r="A60" s="32" t="s">
        <v>1260</v>
      </c>
      <c r="B60" s="20" t="s">
        <v>1261</v>
      </c>
      <c r="C60" s="20" t="s">
        <v>261</v>
      </c>
      <c r="D60" s="20" t="s">
        <v>264</v>
      </c>
      <c r="E60" s="20">
        <v>1</v>
      </c>
      <c r="F60" s="20" t="s">
        <v>1193</v>
      </c>
      <c r="G60" s="46">
        <v>5.5000000000005045</v>
      </c>
      <c r="H60" s="41" t="s">
        <v>1472</v>
      </c>
      <c r="I60" s="44">
        <f>SUM(J60:AI60)</f>
        <v>482.92788235294114</v>
      </c>
      <c r="J60" s="33">
        <v>0.39799999999999996</v>
      </c>
      <c r="K60" s="33">
        <v>0.63705882352941168</v>
      </c>
      <c r="L60" s="33">
        <v>1.3976470588235292</v>
      </c>
      <c r="M60" s="43">
        <v>0</v>
      </c>
      <c r="N60" s="33">
        <v>0.39564705882352941</v>
      </c>
      <c r="O60" s="33">
        <v>99.538705882352929</v>
      </c>
      <c r="P60" s="33">
        <v>5.4823529411764707</v>
      </c>
      <c r="Q60" s="33">
        <v>8.6228235294117646</v>
      </c>
      <c r="R60" s="33">
        <v>5.6757647058823526</v>
      </c>
      <c r="S60" s="33">
        <v>1.004</v>
      </c>
      <c r="T60" s="33">
        <v>55.483411764705885</v>
      </c>
      <c r="U60" s="33">
        <v>0.12058823529411765</v>
      </c>
      <c r="V60" s="33">
        <v>0.10705882352941176</v>
      </c>
      <c r="W60" s="33">
        <v>150.34376470588234</v>
      </c>
      <c r="X60" s="33">
        <v>8.2517647058823531</v>
      </c>
      <c r="Y60" s="33">
        <v>111.25776470588235</v>
      </c>
      <c r="Z60" s="33">
        <v>2.4262352941176468</v>
      </c>
      <c r="AA60" s="33">
        <v>0.98811764705882343</v>
      </c>
      <c r="AB60" s="33">
        <v>24.720352941176472</v>
      </c>
      <c r="AC60" s="43">
        <v>0</v>
      </c>
      <c r="AD60" s="33">
        <v>0.58917647058823519</v>
      </c>
      <c r="AE60" s="21">
        <v>0.17976470588235294</v>
      </c>
      <c r="AF60" s="33">
        <v>0.26482352941176468</v>
      </c>
      <c r="AG60" s="33">
        <v>9.3411764705882333E-2</v>
      </c>
      <c r="AH60" s="33">
        <v>0.24352941176470586</v>
      </c>
      <c r="AI60" s="33">
        <v>4.7061176470588233</v>
      </c>
    </row>
    <row r="61" spans="1:35" x14ac:dyDescent="0.3">
      <c r="A61" s="32" t="s">
        <v>1262</v>
      </c>
      <c r="B61" s="20" t="s">
        <v>1263</v>
      </c>
      <c r="C61" s="20" t="s">
        <v>261</v>
      </c>
      <c r="D61" s="20" t="s">
        <v>266</v>
      </c>
      <c r="E61" s="20">
        <v>1</v>
      </c>
      <c r="F61" s="20" t="s">
        <v>1193</v>
      </c>
      <c r="G61" s="46">
        <v>13.999999999999568</v>
      </c>
      <c r="H61" s="41" t="s">
        <v>1472</v>
      </c>
      <c r="I61" s="44">
        <f>SUM(J61:AI61)</f>
        <v>1133.3285882352939</v>
      </c>
      <c r="J61" s="33">
        <v>0.36929411764705883</v>
      </c>
      <c r="K61" s="33">
        <v>0.46400000000000002</v>
      </c>
      <c r="L61" s="33">
        <v>0.97847058823529398</v>
      </c>
      <c r="M61" s="43">
        <v>0</v>
      </c>
      <c r="N61" s="33">
        <v>0.45611764705882346</v>
      </c>
      <c r="O61" s="33">
        <v>180.76376470588232</v>
      </c>
      <c r="P61" s="33">
        <v>30.697176470588232</v>
      </c>
      <c r="Q61" s="33">
        <v>31.329764705882351</v>
      </c>
      <c r="R61" s="33">
        <v>9.3156470588235294</v>
      </c>
      <c r="S61" s="33">
        <v>1.2079999999999997</v>
      </c>
      <c r="T61" s="33">
        <v>62.49494117647059</v>
      </c>
      <c r="U61" s="33">
        <v>6.6823529411764698E-2</v>
      </c>
      <c r="V61" s="33">
        <v>1.9882352941176469E-2</v>
      </c>
      <c r="W61" s="33">
        <v>629.20517647058819</v>
      </c>
      <c r="X61" s="33">
        <v>23.161176470588231</v>
      </c>
      <c r="Y61" s="33">
        <v>123.57517647058823</v>
      </c>
      <c r="Z61" s="33">
        <v>6.9035294117647048</v>
      </c>
      <c r="AA61" s="33">
        <v>4.0711764705882354</v>
      </c>
      <c r="AB61" s="33">
        <v>21.946352941176468</v>
      </c>
      <c r="AC61" s="43">
        <v>0</v>
      </c>
      <c r="AD61" s="33">
        <v>1.3041176470588234</v>
      </c>
      <c r="AE61" s="21">
        <v>0.20976470588235291</v>
      </c>
      <c r="AF61" s="33">
        <v>0.19588235294117648</v>
      </c>
      <c r="AG61" s="33">
        <v>0.15917647058823528</v>
      </c>
      <c r="AH61" s="33">
        <v>0.10788235294117646</v>
      </c>
      <c r="AI61" s="33">
        <v>4.3252941176470578</v>
      </c>
    </row>
    <row r="62" spans="1:35" x14ac:dyDescent="0.3">
      <c r="A62" s="32" t="s">
        <v>1254</v>
      </c>
      <c r="B62" s="20" t="s">
        <v>1255</v>
      </c>
      <c r="C62" s="20" t="s">
        <v>261</v>
      </c>
      <c r="D62" s="20" t="s">
        <v>268</v>
      </c>
      <c r="E62" s="20">
        <v>1</v>
      </c>
      <c r="F62" s="20" t="s">
        <v>1193</v>
      </c>
      <c r="G62" s="46">
        <v>23.500000000000743</v>
      </c>
      <c r="H62" s="41" t="s">
        <v>1472</v>
      </c>
      <c r="I62" s="44">
        <f>SUM(J62:AI62)</f>
        <v>428.49788235294113</v>
      </c>
      <c r="J62" s="33">
        <v>0.22070588235294114</v>
      </c>
      <c r="K62" s="33">
        <v>0.46505882352941175</v>
      </c>
      <c r="L62" s="33">
        <v>1.3054117647058823</v>
      </c>
      <c r="M62" s="43">
        <v>0</v>
      </c>
      <c r="N62" s="33">
        <v>0.45447058823529407</v>
      </c>
      <c r="O62" s="33">
        <v>106.69988235294117</v>
      </c>
      <c r="P62" s="33">
        <v>20.585058823529412</v>
      </c>
      <c r="Q62" s="33">
        <v>11.228235294117647</v>
      </c>
      <c r="R62" s="33">
        <v>4.5230588235294116</v>
      </c>
      <c r="S62" s="33">
        <v>0.83023529411764696</v>
      </c>
      <c r="T62" s="33">
        <v>38.79588235294117</v>
      </c>
      <c r="U62" s="33">
        <v>0</v>
      </c>
      <c r="V62" s="33">
        <v>2.1176470588235293E-2</v>
      </c>
      <c r="W62" s="33">
        <v>143.09329411764705</v>
      </c>
      <c r="X62" s="33">
        <v>8.3636470588235294</v>
      </c>
      <c r="Y62" s="33">
        <v>63.807529411764698</v>
      </c>
      <c r="Z62" s="33">
        <v>1.5959999999999999</v>
      </c>
      <c r="AA62" s="33">
        <v>1.446470588235294</v>
      </c>
      <c r="AB62" s="33">
        <v>19.982941176470586</v>
      </c>
      <c r="AC62" s="43">
        <v>0</v>
      </c>
      <c r="AD62" s="33">
        <v>0.53658823529411759</v>
      </c>
      <c r="AE62" s="21">
        <v>0.13870588235294118</v>
      </c>
      <c r="AF62" s="33">
        <v>0.15152941176470588</v>
      </c>
      <c r="AG62" s="33">
        <v>0.13176470588235292</v>
      </c>
      <c r="AH62" s="33">
        <v>0.16576470588235293</v>
      </c>
      <c r="AI62" s="33">
        <v>3.9544705882352935</v>
      </c>
    </row>
    <row r="63" spans="1:35" x14ac:dyDescent="0.3">
      <c r="A63" s="32" t="s">
        <v>1256</v>
      </c>
      <c r="B63" s="20" t="s">
        <v>1257</v>
      </c>
      <c r="C63" s="20" t="s">
        <v>261</v>
      </c>
      <c r="D63" s="20" t="s">
        <v>270</v>
      </c>
      <c r="E63" s="20">
        <v>1</v>
      </c>
      <c r="F63" s="20" t="s">
        <v>1193</v>
      </c>
      <c r="G63" s="46">
        <v>16</v>
      </c>
      <c r="H63" s="41" t="s">
        <v>1472</v>
      </c>
      <c r="I63" s="44">
        <f>SUM(J63:AI63)</f>
        <v>488.99247058823528</v>
      </c>
      <c r="J63" s="33">
        <v>0.27105882352941174</v>
      </c>
      <c r="K63" s="33">
        <v>0.6149411764705881</v>
      </c>
      <c r="L63" s="33">
        <v>0.53164705882352936</v>
      </c>
      <c r="M63" s="43">
        <v>0</v>
      </c>
      <c r="N63" s="33">
        <v>0.18152941176470586</v>
      </c>
      <c r="O63" s="33">
        <v>73.330235294117642</v>
      </c>
      <c r="P63" s="33">
        <v>9.2468235294117633</v>
      </c>
      <c r="Q63" s="33">
        <v>13.384941176470589</v>
      </c>
      <c r="R63" s="33">
        <v>3.1091764705882352</v>
      </c>
      <c r="S63" s="33">
        <v>0.46</v>
      </c>
      <c r="T63" s="33">
        <v>23.30705882352941</v>
      </c>
      <c r="U63" s="33">
        <v>1.8705882352941176E-2</v>
      </c>
      <c r="V63" s="33">
        <v>2.1176470588235293E-2</v>
      </c>
      <c r="W63" s="33">
        <v>268.44141176470583</v>
      </c>
      <c r="X63" s="33">
        <v>10.130235294117647</v>
      </c>
      <c r="Y63" s="33">
        <v>72.887647058823532</v>
      </c>
      <c r="Z63" s="33">
        <v>4.9609411764705875</v>
      </c>
      <c r="AA63" s="33">
        <v>1.8118823529411765</v>
      </c>
      <c r="AB63" s="33">
        <v>4.4443529411764704</v>
      </c>
      <c r="AC63" s="43">
        <v>0</v>
      </c>
      <c r="AD63" s="33">
        <v>0.5488235294117646</v>
      </c>
      <c r="AE63" s="21">
        <v>0.1108235294117647</v>
      </c>
      <c r="AF63" s="33">
        <v>4.6823529411764701E-2</v>
      </c>
      <c r="AG63" s="33">
        <v>5.9058823529411761E-2</v>
      </c>
      <c r="AH63" s="33">
        <v>3.0823529411764701E-2</v>
      </c>
      <c r="AI63" s="33">
        <v>1.0423529411764705</v>
      </c>
    </row>
    <row r="64" spans="1:35" x14ac:dyDescent="0.3">
      <c r="A64" s="32" t="s">
        <v>1258</v>
      </c>
      <c r="B64" s="20" t="s">
        <v>1259</v>
      </c>
      <c r="C64" s="20" t="s">
        <v>261</v>
      </c>
      <c r="D64" s="20" t="s">
        <v>272</v>
      </c>
      <c r="E64" s="20">
        <v>1</v>
      </c>
      <c r="F64" s="20" t="s">
        <v>1193</v>
      </c>
      <c r="G64" s="46">
        <v>12.999999999999678</v>
      </c>
      <c r="H64" s="41" t="s">
        <v>1472</v>
      </c>
      <c r="I64" s="44">
        <f>SUM(J64:AI64)</f>
        <v>1128.9851764705879</v>
      </c>
      <c r="J64" s="33">
        <v>0.25611764705882351</v>
      </c>
      <c r="K64" s="33">
        <v>0.73317647058823521</v>
      </c>
      <c r="L64" s="33">
        <v>1.1232941176470588</v>
      </c>
      <c r="M64" s="43">
        <v>0</v>
      </c>
      <c r="N64" s="33">
        <v>0.37035294117647055</v>
      </c>
      <c r="O64" s="33">
        <v>179.62011764705881</v>
      </c>
      <c r="P64" s="33">
        <v>34.742823529411758</v>
      </c>
      <c r="Q64" s="33">
        <v>33.775999999999996</v>
      </c>
      <c r="R64" s="33">
        <v>10.208470588235294</v>
      </c>
      <c r="S64" s="33">
        <v>1.3279999999999998</v>
      </c>
      <c r="T64" s="33">
        <v>66.420235294117646</v>
      </c>
      <c r="U64" s="33">
        <v>4.4235294117647053E-2</v>
      </c>
      <c r="V64" s="33">
        <v>2.4E-2</v>
      </c>
      <c r="W64" s="33">
        <v>626.05305882352934</v>
      </c>
      <c r="X64" s="33">
        <v>18.836705882352941</v>
      </c>
      <c r="Y64" s="33">
        <v>118.06341176470586</v>
      </c>
      <c r="Z64" s="33">
        <v>6.1158823529411768</v>
      </c>
      <c r="AA64" s="33">
        <v>4.1655294117647053</v>
      </c>
      <c r="AB64" s="33">
        <v>21.215999999999998</v>
      </c>
      <c r="AC64" s="43">
        <v>0</v>
      </c>
      <c r="AD64" s="33">
        <v>1.1943529411764704</v>
      </c>
      <c r="AE64" s="21">
        <v>0.2071764705882353</v>
      </c>
      <c r="AF64" s="33">
        <v>0.22388235294117642</v>
      </c>
      <c r="AG64" s="33">
        <v>0.10941176470588233</v>
      </c>
      <c r="AH64" s="33">
        <v>0.14435294117647057</v>
      </c>
      <c r="AI64" s="33">
        <v>4.0085882352941171</v>
      </c>
    </row>
    <row r="65" spans="1:35" x14ac:dyDescent="0.3">
      <c r="A65" s="32" t="s">
        <v>1210</v>
      </c>
      <c r="B65" s="20" t="s">
        <v>1211</v>
      </c>
      <c r="C65" s="20" t="s">
        <v>20</v>
      </c>
      <c r="D65" s="20" t="s">
        <v>33</v>
      </c>
      <c r="E65" s="20">
        <v>2</v>
      </c>
      <c r="F65" s="20" t="s">
        <v>1193</v>
      </c>
      <c r="G65" s="46">
        <v>16.499999999999293</v>
      </c>
      <c r="H65" s="41" t="s">
        <v>1472</v>
      </c>
      <c r="I65" s="44">
        <f>SUM(J65:AI65)</f>
        <v>469.91564705882365</v>
      </c>
      <c r="J65" s="33">
        <v>0.22047058823529408</v>
      </c>
      <c r="K65" s="33">
        <v>0.24188235294117644</v>
      </c>
      <c r="L65" s="33">
        <v>0.84905882352941164</v>
      </c>
      <c r="M65" s="43">
        <v>0</v>
      </c>
      <c r="N65" s="33">
        <v>0.22800000000000001</v>
      </c>
      <c r="O65" s="33">
        <v>86.552823529411754</v>
      </c>
      <c r="P65" s="33">
        <v>8.5318823529411763</v>
      </c>
      <c r="Q65" s="33">
        <v>8.1096470588235299</v>
      </c>
      <c r="R65" s="33">
        <v>3.9881176470588233</v>
      </c>
      <c r="S65" s="33">
        <v>0.7828235294117647</v>
      </c>
      <c r="T65" s="33">
        <v>44.624941176470585</v>
      </c>
      <c r="U65" s="33">
        <v>8.0588235294117641E-2</v>
      </c>
      <c r="V65" s="33">
        <v>4.6941176470588229E-2</v>
      </c>
      <c r="W65" s="33">
        <v>183.27011764705881</v>
      </c>
      <c r="X65" s="33">
        <v>9.8729411764705866</v>
      </c>
      <c r="Y65" s="33">
        <v>78.189176470588237</v>
      </c>
      <c r="Z65" s="33">
        <v>2.5830588235294116</v>
      </c>
      <c r="AA65" s="33">
        <v>1.3539999999999999</v>
      </c>
      <c r="AB65" s="33">
        <v>33.34129411764706</v>
      </c>
      <c r="AC65" s="43">
        <v>0</v>
      </c>
      <c r="AD65" s="33">
        <v>0.72152941176470586</v>
      </c>
      <c r="AE65" s="21">
        <v>0.15035294117647058</v>
      </c>
      <c r="AF65" s="33">
        <v>0.72470588235294109</v>
      </c>
      <c r="AG65" s="33">
        <v>0.50729411764705878</v>
      </c>
      <c r="AH65" s="33">
        <v>0.50905882352941179</v>
      </c>
      <c r="AI65" s="33">
        <v>4.4349411764705886</v>
      </c>
    </row>
    <row r="66" spans="1:35" x14ac:dyDescent="0.3">
      <c r="A66" s="32" t="s">
        <v>1212</v>
      </c>
      <c r="B66" s="20" t="s">
        <v>1213</v>
      </c>
      <c r="C66" s="20" t="s">
        <v>20</v>
      </c>
      <c r="D66" s="20" t="s">
        <v>35</v>
      </c>
      <c r="E66" s="20">
        <v>2</v>
      </c>
      <c r="F66" s="20" t="s">
        <v>1193</v>
      </c>
      <c r="G66" s="46">
        <v>23.999999999999577</v>
      </c>
      <c r="H66" s="41" t="s">
        <v>1472</v>
      </c>
      <c r="I66" s="44">
        <f>SUM(J66:AI66)</f>
        <v>95.764588235294113</v>
      </c>
      <c r="J66" s="33">
        <v>0.21788235294117644</v>
      </c>
      <c r="K66" s="33">
        <v>0.24811764705882353</v>
      </c>
      <c r="L66" s="33">
        <v>0.35729411764705882</v>
      </c>
      <c r="M66" s="43">
        <v>0</v>
      </c>
      <c r="N66" s="33">
        <v>0.11317647058823528</v>
      </c>
      <c r="O66" s="33">
        <v>22.160470588235292</v>
      </c>
      <c r="P66" s="33">
        <v>0.8489411764705882</v>
      </c>
      <c r="Q66" s="33">
        <v>3.7499999999999996</v>
      </c>
      <c r="R66" s="33">
        <v>0.874470588235294</v>
      </c>
      <c r="S66" s="33">
        <v>0.23705882352941177</v>
      </c>
      <c r="T66" s="33">
        <v>9.3818823529411759</v>
      </c>
      <c r="U66" s="33">
        <v>1.3882352941176471E-2</v>
      </c>
      <c r="V66" s="33">
        <v>0</v>
      </c>
      <c r="W66" s="33">
        <v>21.34635294117647</v>
      </c>
      <c r="X66" s="33">
        <v>1.4143529411764704</v>
      </c>
      <c r="Y66" s="33">
        <v>26.978117647058824</v>
      </c>
      <c r="Z66" s="33">
        <v>1.2458823529411762</v>
      </c>
      <c r="AA66" s="33">
        <v>0.28094117647058819</v>
      </c>
      <c r="AB66" s="33">
        <v>4.9498823529411764</v>
      </c>
      <c r="AC66" s="43">
        <v>0</v>
      </c>
      <c r="AD66" s="33">
        <v>0.22294117647058823</v>
      </c>
      <c r="AE66" s="21">
        <v>5.6705882352941168E-2</v>
      </c>
      <c r="AF66" s="33">
        <v>6.2E-2</v>
      </c>
      <c r="AG66" s="33">
        <v>3.7764705882352943E-2</v>
      </c>
      <c r="AH66" s="33">
        <v>6.4352941176470585E-2</v>
      </c>
      <c r="AI66" s="33">
        <v>0.90211764705882347</v>
      </c>
    </row>
    <row r="67" spans="1:35" x14ac:dyDescent="0.3">
      <c r="A67" s="32" t="s">
        <v>1204</v>
      </c>
      <c r="B67" s="20" t="s">
        <v>1205</v>
      </c>
      <c r="C67" s="20" t="s">
        <v>20</v>
      </c>
      <c r="D67" s="20" t="s">
        <v>37</v>
      </c>
      <c r="E67" s="20">
        <v>2</v>
      </c>
      <c r="F67" s="20" t="s">
        <v>1193</v>
      </c>
      <c r="G67" s="46">
        <v>9.5000000000000639</v>
      </c>
      <c r="H67" s="41" t="s">
        <v>1472</v>
      </c>
      <c r="I67" s="44">
        <f>SUM(J67:AI67)</f>
        <v>844.12870588235285</v>
      </c>
      <c r="J67" s="33">
        <v>0.25470588235294117</v>
      </c>
      <c r="K67" s="33">
        <v>0.89129411764705868</v>
      </c>
      <c r="L67" s="33">
        <v>0.87870588235294123</v>
      </c>
      <c r="M67" s="43">
        <v>0</v>
      </c>
      <c r="N67" s="33">
        <v>0.29376470588235293</v>
      </c>
      <c r="O67" s="33">
        <v>132.7584705882353</v>
      </c>
      <c r="P67" s="33">
        <v>20.858117647058823</v>
      </c>
      <c r="Q67" s="33">
        <v>10.327764705882352</v>
      </c>
      <c r="R67" s="33">
        <v>6.6878823529411759</v>
      </c>
      <c r="S67" s="33">
        <v>1.6215294117647059</v>
      </c>
      <c r="T67" s="33">
        <v>67.44164705882352</v>
      </c>
      <c r="U67" s="33">
        <v>6.1529411764705881E-2</v>
      </c>
      <c r="V67" s="33">
        <v>0</v>
      </c>
      <c r="W67" s="33">
        <v>426.42423529411764</v>
      </c>
      <c r="X67" s="33">
        <v>18.060588235294116</v>
      </c>
      <c r="Y67" s="33">
        <v>120.62988235294115</v>
      </c>
      <c r="Z67" s="33">
        <v>4.4298823529411759</v>
      </c>
      <c r="AA67" s="33">
        <v>2.5054117647058822</v>
      </c>
      <c r="AB67" s="33">
        <v>23.037999999999997</v>
      </c>
      <c r="AC67" s="43">
        <v>0</v>
      </c>
      <c r="AD67" s="33">
        <v>0.81494117647058817</v>
      </c>
      <c r="AE67" s="21">
        <v>0.23423529411764704</v>
      </c>
      <c r="AF67" s="33">
        <v>0.27670588235294113</v>
      </c>
      <c r="AG67" s="33">
        <v>5.9764705882352942E-2</v>
      </c>
      <c r="AH67" s="33">
        <v>0.17235294117647057</v>
      </c>
      <c r="AI67" s="33">
        <v>5.4072941176470577</v>
      </c>
    </row>
    <row r="68" spans="1:35" x14ac:dyDescent="0.3">
      <c r="A68" s="32" t="s">
        <v>1206</v>
      </c>
      <c r="B68" s="20" t="s">
        <v>1207</v>
      </c>
      <c r="C68" s="20" t="s">
        <v>20</v>
      </c>
      <c r="D68" s="20" t="s">
        <v>39</v>
      </c>
      <c r="E68" s="20">
        <v>2</v>
      </c>
      <c r="F68" s="20" t="s">
        <v>1193</v>
      </c>
      <c r="G68" s="46">
        <v>16.500000000000401</v>
      </c>
      <c r="H68" s="41" t="s">
        <v>1472</v>
      </c>
      <c r="I68" s="44">
        <f>SUM(J68:AI68)</f>
        <v>490.0896470588234</v>
      </c>
      <c r="J68" s="33">
        <v>0.29352941176470587</v>
      </c>
      <c r="K68" s="33">
        <v>0.75247058823529411</v>
      </c>
      <c r="L68" s="33">
        <v>0.65752941176470581</v>
      </c>
      <c r="M68" s="43">
        <v>0</v>
      </c>
      <c r="N68" s="33">
        <v>0.22894117647058823</v>
      </c>
      <c r="O68" s="33">
        <v>91.681294117647056</v>
      </c>
      <c r="P68" s="33">
        <v>14.853882352941175</v>
      </c>
      <c r="Q68" s="33">
        <v>12.288</v>
      </c>
      <c r="R68" s="33">
        <v>3.5041176470588233</v>
      </c>
      <c r="S68" s="33">
        <v>0.62188235294117644</v>
      </c>
      <c r="T68" s="33">
        <v>34.819176470588232</v>
      </c>
      <c r="U68" s="33">
        <v>6.9058823529411756E-2</v>
      </c>
      <c r="V68" s="33">
        <v>4.3882352941176463E-2</v>
      </c>
      <c r="W68" s="33">
        <v>238.73905882352938</v>
      </c>
      <c r="X68" s="33">
        <v>9.6872941176470579</v>
      </c>
      <c r="Y68" s="33">
        <v>60.083882352941167</v>
      </c>
      <c r="Z68" s="33">
        <v>2.1987058823529408</v>
      </c>
      <c r="AA68" s="33">
        <v>2.1494117647058824</v>
      </c>
      <c r="AB68" s="33">
        <v>13.315647058823528</v>
      </c>
      <c r="AC68" s="43">
        <v>0</v>
      </c>
      <c r="AD68" s="33">
        <v>0.79623529411764704</v>
      </c>
      <c r="AE68" s="21">
        <v>0.17623529411764705</v>
      </c>
      <c r="AF68" s="33">
        <v>8.2941176470588227E-2</v>
      </c>
      <c r="AG68" s="33">
        <v>0.11541176470588234</v>
      </c>
      <c r="AH68" s="33">
        <v>0.10541176470588233</v>
      </c>
      <c r="AI68" s="33">
        <v>2.8256470588235292</v>
      </c>
    </row>
    <row r="69" spans="1:35" x14ac:dyDescent="0.3">
      <c r="A69" s="32" t="s">
        <v>1208</v>
      </c>
      <c r="B69" s="20" t="s">
        <v>1209</v>
      </c>
      <c r="C69" s="20" t="s">
        <v>20</v>
      </c>
      <c r="D69" s="20" t="s">
        <v>41</v>
      </c>
      <c r="E69" s="20">
        <v>2</v>
      </c>
      <c r="F69" s="20" t="s">
        <v>1193</v>
      </c>
      <c r="G69" s="46">
        <v>22.999999999999687</v>
      </c>
      <c r="H69" s="41" t="s">
        <v>1472</v>
      </c>
      <c r="I69" s="44">
        <f>SUM(J69:AI69)</f>
        <v>504.70388235294109</v>
      </c>
      <c r="J69" s="33">
        <v>0.21694117647058825</v>
      </c>
      <c r="K69" s="33">
        <v>0.40988235294117648</v>
      </c>
      <c r="L69" s="33">
        <v>0.66011764705882348</v>
      </c>
      <c r="M69" s="43">
        <v>0</v>
      </c>
      <c r="N69" s="33">
        <v>0.26223529411764707</v>
      </c>
      <c r="O69" s="33">
        <v>79.626352941176464</v>
      </c>
      <c r="P69" s="33">
        <v>6.5114117647058825</v>
      </c>
      <c r="Q69" s="33">
        <v>11.926117647058822</v>
      </c>
      <c r="R69" s="33">
        <v>3.2941176470588234</v>
      </c>
      <c r="S69" s="33">
        <v>0.9443529411764704</v>
      </c>
      <c r="T69" s="33">
        <v>44.153999999999996</v>
      </c>
      <c r="U69" s="33">
        <v>7.3058823529411759E-2</v>
      </c>
      <c r="V69" s="33">
        <v>7.2705882352941162E-2</v>
      </c>
      <c r="W69" s="33">
        <v>221.25423529411762</v>
      </c>
      <c r="X69" s="33">
        <v>9.5818823529411752</v>
      </c>
      <c r="Y69" s="33">
        <v>98.385294117647049</v>
      </c>
      <c r="Z69" s="33">
        <v>4.6578823529411757</v>
      </c>
      <c r="AA69" s="33">
        <v>1.6059999999999999</v>
      </c>
      <c r="AB69" s="33">
        <v>16.007647058823526</v>
      </c>
      <c r="AC69" s="43">
        <v>0</v>
      </c>
      <c r="AD69" s="33">
        <v>0.73882352941176455</v>
      </c>
      <c r="AE69" s="21">
        <v>0.18705882352941175</v>
      </c>
      <c r="AF69" s="33">
        <v>0.26</v>
      </c>
      <c r="AG69" s="33">
        <v>0.22435294117647056</v>
      </c>
      <c r="AH69" s="33">
        <v>0.14823529411764705</v>
      </c>
      <c r="AI69" s="33">
        <v>3.5011764705882347</v>
      </c>
    </row>
    <row r="70" spans="1:35" x14ac:dyDescent="0.3">
      <c r="A70" s="32" t="s">
        <v>1234</v>
      </c>
      <c r="B70" s="20" t="s">
        <v>1235</v>
      </c>
      <c r="C70" s="20" t="s">
        <v>146</v>
      </c>
      <c r="D70" s="20" t="s">
        <v>157</v>
      </c>
      <c r="E70" s="20">
        <v>2</v>
      </c>
      <c r="F70" s="20" t="s">
        <v>1193</v>
      </c>
      <c r="G70" s="46">
        <v>11.500000000000954</v>
      </c>
      <c r="H70" s="41" t="s">
        <v>1472</v>
      </c>
      <c r="I70" s="44">
        <f>SUM(J70:AI70)</f>
        <v>400.99670588235284</v>
      </c>
      <c r="J70" s="33">
        <v>0.44423529411764706</v>
      </c>
      <c r="K70" s="33">
        <v>1.0088235294117647</v>
      </c>
      <c r="L70" s="33">
        <v>0.85929411764705865</v>
      </c>
      <c r="M70" s="43">
        <v>0</v>
      </c>
      <c r="N70" s="33">
        <v>0.6783529411764706</v>
      </c>
      <c r="O70" s="33">
        <v>77.937411764705871</v>
      </c>
      <c r="P70" s="33">
        <v>7.23835294117647</v>
      </c>
      <c r="Q70" s="33">
        <v>5.300470588235294</v>
      </c>
      <c r="R70" s="33">
        <v>2.2009411764705882</v>
      </c>
      <c r="S70" s="33">
        <v>0.94352941176470573</v>
      </c>
      <c r="T70" s="33">
        <v>42.651058823529411</v>
      </c>
      <c r="U70" s="33">
        <v>0.1216470588235294</v>
      </c>
      <c r="V70" s="33">
        <v>6.6352941176470587E-2</v>
      </c>
      <c r="W70" s="33">
        <v>141.6189411764706</v>
      </c>
      <c r="X70" s="33">
        <v>6.4</v>
      </c>
      <c r="Y70" s="33">
        <v>88.905999999999992</v>
      </c>
      <c r="Z70" s="33">
        <v>2.7778823529411762</v>
      </c>
      <c r="AA70" s="33">
        <v>1.1999999999999997</v>
      </c>
      <c r="AB70" s="33">
        <v>15.805764705882353</v>
      </c>
      <c r="AC70" s="43">
        <v>0</v>
      </c>
      <c r="AD70" s="33">
        <v>0.88188235294117634</v>
      </c>
      <c r="AE70" s="21">
        <v>0.15988235294117645</v>
      </c>
      <c r="AF70" s="33">
        <v>0.16576470588235293</v>
      </c>
      <c r="AG70" s="33">
        <v>0.42211764705882354</v>
      </c>
      <c r="AH70" s="33">
        <v>0.1628235294117647</v>
      </c>
      <c r="AI70" s="33">
        <v>3.0451764705882352</v>
      </c>
    </row>
    <row r="71" spans="1:35" x14ac:dyDescent="0.3">
      <c r="A71" s="32" t="s">
        <v>1236</v>
      </c>
      <c r="B71" s="20" t="s">
        <v>1237</v>
      </c>
      <c r="C71" s="20" t="s">
        <v>146</v>
      </c>
      <c r="D71" s="20" t="s">
        <v>159</v>
      </c>
      <c r="E71" s="20">
        <v>2</v>
      </c>
      <c r="F71" s="20" t="s">
        <v>1193</v>
      </c>
      <c r="G71" s="46">
        <v>8.0000000000002292</v>
      </c>
      <c r="H71" s="41" t="s">
        <v>1472</v>
      </c>
      <c r="I71" s="44">
        <f>SUM(J71:AI71)</f>
        <v>620.05388235294106</v>
      </c>
      <c r="J71" s="33">
        <v>0.19823529411764704</v>
      </c>
      <c r="K71" s="33">
        <v>0.25870588235294112</v>
      </c>
      <c r="L71" s="33">
        <v>0.60941176470588232</v>
      </c>
      <c r="M71" s="43">
        <v>0</v>
      </c>
      <c r="N71" s="33">
        <v>0.34611764705882353</v>
      </c>
      <c r="O71" s="33">
        <v>96.868235294117639</v>
      </c>
      <c r="P71" s="33">
        <v>10.492117647058823</v>
      </c>
      <c r="Q71" s="33">
        <v>12.589764705882352</v>
      </c>
      <c r="R71" s="33">
        <v>3.2696470588235291</v>
      </c>
      <c r="S71" s="33">
        <v>1.1010588235294116</v>
      </c>
      <c r="T71" s="33">
        <v>59.793294117647051</v>
      </c>
      <c r="U71" s="33">
        <v>0.21588235294117647</v>
      </c>
      <c r="V71" s="33">
        <v>0.16894117647058821</v>
      </c>
      <c r="W71" s="33">
        <v>268.46329411764702</v>
      </c>
      <c r="X71" s="33">
        <v>12.771529411764705</v>
      </c>
      <c r="Y71" s="33">
        <v>110.08482352941176</v>
      </c>
      <c r="Z71" s="33">
        <v>3.6944705882352937</v>
      </c>
      <c r="AA71" s="33">
        <v>1.6859999999999997</v>
      </c>
      <c r="AB71" s="33">
        <v>30.658352941176467</v>
      </c>
      <c r="AC71" s="43">
        <v>0</v>
      </c>
      <c r="AD71" s="33">
        <v>0.77482352941176469</v>
      </c>
      <c r="AE71" s="21">
        <v>0.21964705882352939</v>
      </c>
      <c r="AF71" s="33">
        <v>0.25282352941176467</v>
      </c>
      <c r="AG71" s="33">
        <v>0.22047058823529408</v>
      </c>
      <c r="AH71" s="33">
        <v>0.14341176470588232</v>
      </c>
      <c r="AI71" s="33">
        <v>5.1728235294117644</v>
      </c>
    </row>
    <row r="72" spans="1:35" x14ac:dyDescent="0.3">
      <c r="A72" s="32" t="s">
        <v>1232</v>
      </c>
      <c r="B72" s="20" t="s">
        <v>1233</v>
      </c>
      <c r="C72" s="20" t="s">
        <v>146</v>
      </c>
      <c r="D72" s="20" t="s">
        <v>155</v>
      </c>
      <c r="E72" s="20">
        <v>2</v>
      </c>
      <c r="F72" s="20" t="s">
        <v>1193</v>
      </c>
      <c r="G72" s="46">
        <v>9.5000000000000639</v>
      </c>
      <c r="H72" s="41" t="s">
        <v>1472</v>
      </c>
      <c r="I72" s="44">
        <f>SUM(J72:AI72)</f>
        <v>851.31682352941152</v>
      </c>
      <c r="J72" s="33">
        <v>0.23882352941176466</v>
      </c>
      <c r="K72" s="33">
        <v>0.74458823529411755</v>
      </c>
      <c r="L72" s="33">
        <v>0.89870588235294113</v>
      </c>
      <c r="M72" s="43">
        <v>0</v>
      </c>
      <c r="N72" s="33">
        <v>0.32599999999999996</v>
      </c>
      <c r="O72" s="33">
        <v>134.48835294117646</v>
      </c>
      <c r="P72" s="33">
        <v>17.469764705882351</v>
      </c>
      <c r="Q72" s="33">
        <v>12.216588235294118</v>
      </c>
      <c r="R72" s="33">
        <v>6.7983529411764705</v>
      </c>
      <c r="S72" s="33">
        <v>1.0683529411764705</v>
      </c>
      <c r="T72" s="33">
        <v>60.773058823529404</v>
      </c>
      <c r="U72" s="33">
        <v>0.15741176470588233</v>
      </c>
      <c r="V72" s="33">
        <v>0.11388235294117645</v>
      </c>
      <c r="W72" s="33">
        <v>443.42141176470585</v>
      </c>
      <c r="X72" s="33">
        <v>16.472117647058823</v>
      </c>
      <c r="Y72" s="33">
        <v>114.11847058823528</v>
      </c>
      <c r="Z72" s="33">
        <v>4.55235294117647</v>
      </c>
      <c r="AA72" s="33">
        <v>2.3364705882352941</v>
      </c>
      <c r="AB72" s="33">
        <v>28.700352941176469</v>
      </c>
      <c r="AC72" s="43">
        <v>0</v>
      </c>
      <c r="AD72" s="33">
        <v>0.76835294117647057</v>
      </c>
      <c r="AE72" s="21">
        <v>0.16541176470588234</v>
      </c>
      <c r="AF72" s="33">
        <v>0.23952941176470585</v>
      </c>
      <c r="AG72" s="33">
        <v>9.8941176470588241E-2</v>
      </c>
      <c r="AH72" s="33">
        <v>0.14070588235294118</v>
      </c>
      <c r="AI72" s="33">
        <v>5.0088235294117647</v>
      </c>
    </row>
    <row r="73" spans="1:35" x14ac:dyDescent="0.3">
      <c r="A73" s="32" t="s">
        <v>1238</v>
      </c>
      <c r="B73" s="20" t="s">
        <v>1239</v>
      </c>
      <c r="C73" s="20" t="s">
        <v>146</v>
      </c>
      <c r="D73" s="20" t="s">
        <v>151</v>
      </c>
      <c r="E73" s="20">
        <v>2</v>
      </c>
      <c r="F73" s="20" t="s">
        <v>1193</v>
      </c>
      <c r="G73" s="46">
        <v>21.999999999999797</v>
      </c>
      <c r="H73" s="41" t="s">
        <v>1472</v>
      </c>
      <c r="I73" s="44">
        <f>SUM(J73:AI73)</f>
        <v>246.34141176470584</v>
      </c>
      <c r="J73" s="33">
        <v>0.23258823529411762</v>
      </c>
      <c r="K73" s="33">
        <v>0.3469411764705882</v>
      </c>
      <c r="L73" s="33">
        <v>1.0174117647058822</v>
      </c>
      <c r="M73" s="43">
        <v>0</v>
      </c>
      <c r="N73" s="33">
        <v>0.39317647058823524</v>
      </c>
      <c r="O73" s="33">
        <v>53.002941176470586</v>
      </c>
      <c r="P73" s="33">
        <v>1.5283529411764705</v>
      </c>
      <c r="Q73" s="33">
        <v>3.5315294117647058</v>
      </c>
      <c r="R73" s="33">
        <v>2.054470588235294</v>
      </c>
      <c r="S73" s="33">
        <v>0.55905882352941172</v>
      </c>
      <c r="T73" s="33">
        <v>25.362941176470585</v>
      </c>
      <c r="U73" s="33">
        <v>3.3058823529411765E-2</v>
      </c>
      <c r="V73" s="33">
        <v>0</v>
      </c>
      <c r="W73" s="33">
        <v>60.026352941176469</v>
      </c>
      <c r="X73" s="33">
        <v>4.6643529411764701</v>
      </c>
      <c r="Y73" s="33">
        <v>69.068588235294115</v>
      </c>
      <c r="Z73" s="33">
        <v>3.1702352941176466</v>
      </c>
      <c r="AA73" s="33">
        <v>0.58070588235294118</v>
      </c>
      <c r="AB73" s="33">
        <v>16.901529411764706</v>
      </c>
      <c r="AC73" s="43">
        <v>0</v>
      </c>
      <c r="AD73" s="33">
        <v>0.40152941176470586</v>
      </c>
      <c r="AE73" s="21">
        <v>0.1108235294117647</v>
      </c>
      <c r="AF73" s="33">
        <v>0.3698823529411765</v>
      </c>
      <c r="AG73" s="33">
        <v>0.20964705882352938</v>
      </c>
      <c r="AH73" s="33">
        <v>0.31799999999999995</v>
      </c>
      <c r="AI73" s="33">
        <v>2.4572941176470584</v>
      </c>
    </row>
    <row r="74" spans="1:35" x14ac:dyDescent="0.3">
      <c r="A74" s="32" t="s">
        <v>1240</v>
      </c>
      <c r="B74" s="20" t="s">
        <v>1241</v>
      </c>
      <c r="C74" s="20" t="s">
        <v>146</v>
      </c>
      <c r="D74" s="20" t="s">
        <v>153</v>
      </c>
      <c r="E74" s="20">
        <v>2</v>
      </c>
      <c r="F74" s="20" t="s">
        <v>1193</v>
      </c>
      <c r="G74" s="46">
        <v>15.500000000000513</v>
      </c>
      <c r="H74" s="41" t="s">
        <v>1472</v>
      </c>
      <c r="I74" s="44">
        <f>SUM(J74:AI74)</f>
        <v>483.81388235294105</v>
      </c>
      <c r="J74" s="33">
        <v>0.24976470588235292</v>
      </c>
      <c r="K74" s="33">
        <v>0.31717647058823528</v>
      </c>
      <c r="L74" s="33">
        <v>0.84647058823529409</v>
      </c>
      <c r="M74" s="43">
        <v>0</v>
      </c>
      <c r="N74" s="33">
        <v>0.31376470588235289</v>
      </c>
      <c r="O74" s="33">
        <v>86.270117647058811</v>
      </c>
      <c r="P74" s="33">
        <v>12.331058823529412</v>
      </c>
      <c r="Q74" s="33">
        <v>7.0014117647058818</v>
      </c>
      <c r="R74" s="33">
        <v>3.0417647058823527</v>
      </c>
      <c r="S74" s="33">
        <v>0.91176470588235281</v>
      </c>
      <c r="T74" s="33">
        <v>47.899176470588237</v>
      </c>
      <c r="U74" s="33">
        <v>0.11341176470588234</v>
      </c>
      <c r="V74" s="33">
        <v>8.5882352941176465E-2</v>
      </c>
      <c r="W74" s="33">
        <v>179.49670588235293</v>
      </c>
      <c r="X74" s="33">
        <v>9.8754117647058806</v>
      </c>
      <c r="Y74" s="33">
        <v>98.791647058823514</v>
      </c>
      <c r="Z74" s="33">
        <v>4.1432941176470583</v>
      </c>
      <c r="AA74" s="33">
        <v>2.126235294117647</v>
      </c>
      <c r="AB74" s="33">
        <v>23.707882352941173</v>
      </c>
      <c r="AC74" s="43">
        <v>0</v>
      </c>
      <c r="AD74" s="33">
        <v>1.0803529411764705</v>
      </c>
      <c r="AE74" s="21">
        <v>0.23235294117647057</v>
      </c>
      <c r="AF74" s="33">
        <v>0.23564705882352938</v>
      </c>
      <c r="AG74" s="33">
        <v>0.37517647058823528</v>
      </c>
      <c r="AH74" s="33">
        <v>0.16870588235294118</v>
      </c>
      <c r="AI74" s="33">
        <v>4.1987058823529404</v>
      </c>
    </row>
    <row r="75" spans="1:35" x14ac:dyDescent="0.3">
      <c r="A75" s="32" t="s">
        <v>1270</v>
      </c>
      <c r="B75" s="20" t="s">
        <v>1271</v>
      </c>
      <c r="C75" s="20" t="s">
        <v>261</v>
      </c>
      <c r="D75" s="20" t="s">
        <v>274</v>
      </c>
      <c r="E75" s="20">
        <v>2</v>
      </c>
      <c r="F75" s="20" t="s">
        <v>1193</v>
      </c>
      <c r="G75" s="46">
        <v>9.5000000000000639</v>
      </c>
      <c r="H75" s="41" t="s">
        <v>1472</v>
      </c>
      <c r="I75" s="44">
        <f>SUM(J75:AI75)</f>
        <v>561.6468235294119</v>
      </c>
      <c r="J75" s="33">
        <v>0.3918823529411764</v>
      </c>
      <c r="K75" s="33">
        <v>0.67105882352941171</v>
      </c>
      <c r="L75" s="33">
        <v>1.0645882352941176</v>
      </c>
      <c r="M75" s="43">
        <v>0</v>
      </c>
      <c r="N75" s="33">
        <v>0.35705882352941171</v>
      </c>
      <c r="O75" s="33">
        <v>108.08305882352941</v>
      </c>
      <c r="P75" s="33">
        <v>8.3275294117647061</v>
      </c>
      <c r="Q75" s="33">
        <v>8.0935294117647043</v>
      </c>
      <c r="R75" s="33">
        <v>3.4582352941176469</v>
      </c>
      <c r="S75" s="33">
        <v>1.1531764705882352</v>
      </c>
      <c r="T75" s="33">
        <v>62.191647058823527</v>
      </c>
      <c r="U75" s="33">
        <v>0.21764705882352939</v>
      </c>
      <c r="V75" s="33">
        <v>0.14199999999999999</v>
      </c>
      <c r="W75" s="33">
        <v>192.56247058823527</v>
      </c>
      <c r="X75" s="33">
        <v>9.9222352941176464</v>
      </c>
      <c r="Y75" s="33">
        <v>124.33823529411764</v>
      </c>
      <c r="Z75" s="33">
        <v>3.3738823529411759</v>
      </c>
      <c r="AA75" s="33">
        <v>1.2997647058823527</v>
      </c>
      <c r="AB75" s="33">
        <v>29.791529411764703</v>
      </c>
      <c r="AC75" s="43">
        <v>0</v>
      </c>
      <c r="AD75" s="33">
        <v>0.68682352941176472</v>
      </c>
      <c r="AE75" s="21">
        <v>0.224</v>
      </c>
      <c r="AF75" s="33">
        <v>0.25235294117647056</v>
      </c>
      <c r="AG75" s="33">
        <v>0.13588235294117645</v>
      </c>
      <c r="AH75" s="33">
        <v>0.13858823529411765</v>
      </c>
      <c r="AI75" s="33">
        <v>4.7696470588235291</v>
      </c>
    </row>
    <row r="76" spans="1:35" x14ac:dyDescent="0.3">
      <c r="A76" s="32" t="s">
        <v>1272</v>
      </c>
      <c r="B76" s="20" t="s">
        <v>1273</v>
      </c>
      <c r="C76" s="20" t="s">
        <v>261</v>
      </c>
      <c r="D76" s="20" t="s">
        <v>276</v>
      </c>
      <c r="E76" s="20">
        <v>2</v>
      </c>
      <c r="F76" s="20" t="s">
        <v>1193</v>
      </c>
      <c r="G76" s="46">
        <v>5.4999999999993943</v>
      </c>
      <c r="H76" s="41" t="s">
        <v>1472</v>
      </c>
      <c r="I76" s="44">
        <f>SUM(J76:AI76)</f>
        <v>671.64199999999983</v>
      </c>
      <c r="J76" s="33">
        <v>0.53447058823529403</v>
      </c>
      <c r="K76" s="33">
        <v>0.85858823529411765</v>
      </c>
      <c r="L76" s="33">
        <v>2.4419999999999997</v>
      </c>
      <c r="M76" s="43">
        <v>0</v>
      </c>
      <c r="N76" s="33">
        <v>0.64847058823529413</v>
      </c>
      <c r="O76" s="33">
        <v>122.02105882352942</v>
      </c>
      <c r="P76" s="33">
        <v>15.118941176470587</v>
      </c>
      <c r="Q76" s="33">
        <v>16.509647058823528</v>
      </c>
      <c r="R76" s="33">
        <v>8.9842352941176458</v>
      </c>
      <c r="S76" s="33">
        <v>1.1827058823529411</v>
      </c>
      <c r="T76" s="33">
        <v>46.291411764705877</v>
      </c>
      <c r="U76" s="33">
        <v>5.3058823529411762E-2</v>
      </c>
      <c r="V76" s="33">
        <v>5.0470588235294121E-2</v>
      </c>
      <c r="W76" s="33">
        <v>329.39411764705881</v>
      </c>
      <c r="X76" s="33">
        <v>13.718117647058822</v>
      </c>
      <c r="Y76" s="33">
        <v>85.306352941176456</v>
      </c>
      <c r="Z76" s="33">
        <v>3.6981176470588233</v>
      </c>
      <c r="AA76" s="33">
        <v>4.1301176470588228</v>
      </c>
      <c r="AB76" s="33">
        <v>16.231764705882352</v>
      </c>
      <c r="AC76" s="43">
        <v>0</v>
      </c>
      <c r="AD76" s="33">
        <v>1.4339999999999999</v>
      </c>
      <c r="AE76" s="21">
        <v>0.32105882352941173</v>
      </c>
      <c r="AF76" s="33">
        <v>0.24352941176470586</v>
      </c>
      <c r="AG76" s="33">
        <v>0.27235294117647058</v>
      </c>
      <c r="AH76" s="33">
        <v>0.14682352941176469</v>
      </c>
      <c r="AI76" s="33">
        <v>2.0505882352941178</v>
      </c>
    </row>
    <row r="77" spans="1:35" x14ac:dyDescent="0.3">
      <c r="A77" s="32" t="s">
        <v>1264</v>
      </c>
      <c r="B77" s="20" t="s">
        <v>1265</v>
      </c>
      <c r="C77" s="20" t="s">
        <v>261</v>
      </c>
      <c r="D77" s="20" t="s">
        <v>278</v>
      </c>
      <c r="E77" s="20">
        <v>2</v>
      </c>
      <c r="F77" s="20" t="s">
        <v>1193</v>
      </c>
      <c r="G77" s="46">
        <v>7.0000000000003393</v>
      </c>
      <c r="H77" s="41" t="s">
        <v>1472</v>
      </c>
      <c r="I77" s="44">
        <f>SUM(J77:AI77)</f>
        <v>125.40494117647057</v>
      </c>
      <c r="J77" s="33">
        <v>0.21341176470588233</v>
      </c>
      <c r="K77" s="33">
        <v>0.2596470588235294</v>
      </c>
      <c r="L77" s="33">
        <v>0.33482352941176469</v>
      </c>
      <c r="M77" s="43">
        <v>0</v>
      </c>
      <c r="N77" s="33">
        <v>0.13388235294117645</v>
      </c>
      <c r="O77" s="33">
        <v>25.393882352941173</v>
      </c>
      <c r="P77" s="33">
        <v>5.3647058823529402E-2</v>
      </c>
      <c r="Q77" s="33">
        <v>6.0588235294117644E-2</v>
      </c>
      <c r="R77" s="33">
        <v>0.32823529411764707</v>
      </c>
      <c r="S77" s="33">
        <v>0.32423529411764707</v>
      </c>
      <c r="T77" s="33">
        <v>12.573647058823527</v>
      </c>
      <c r="U77" s="33">
        <v>0</v>
      </c>
      <c r="V77" s="33">
        <v>0</v>
      </c>
      <c r="W77" s="33">
        <v>17.404588235294117</v>
      </c>
      <c r="X77" s="33">
        <v>1.4734117647058822</v>
      </c>
      <c r="Y77" s="33">
        <v>57.274117647058816</v>
      </c>
      <c r="Z77" s="33">
        <v>3.7028235294117646</v>
      </c>
      <c r="AA77" s="33">
        <v>0.30658823529411761</v>
      </c>
      <c r="AB77" s="33">
        <v>4.0928235294117643</v>
      </c>
      <c r="AC77" s="43">
        <v>0</v>
      </c>
      <c r="AD77" s="33">
        <v>0.28070588235294114</v>
      </c>
      <c r="AE77" s="21">
        <v>7.988235294117646E-2</v>
      </c>
      <c r="AF77" s="33">
        <v>9.5764705882352932E-2</v>
      </c>
      <c r="AG77" s="33">
        <v>3.6117647058823525E-2</v>
      </c>
      <c r="AH77" s="33">
        <v>3.4117647058823523E-2</v>
      </c>
      <c r="AI77" s="33">
        <v>0.94799999999999995</v>
      </c>
    </row>
    <row r="78" spans="1:35" x14ac:dyDescent="0.3">
      <c r="A78" s="32" t="s">
        <v>1266</v>
      </c>
      <c r="B78" s="20" t="s">
        <v>1267</v>
      </c>
      <c r="C78" s="20" t="s">
        <v>261</v>
      </c>
      <c r="D78" s="20" t="s">
        <v>280</v>
      </c>
      <c r="E78" s="20">
        <v>2</v>
      </c>
      <c r="F78" s="20" t="s">
        <v>1193</v>
      </c>
      <c r="G78" s="46">
        <v>16.000000000000458</v>
      </c>
      <c r="H78" s="41" t="s">
        <v>1472</v>
      </c>
      <c r="I78" s="44">
        <f>SUM(J78:AI78)</f>
        <v>1197.3545882352939</v>
      </c>
      <c r="J78" s="33">
        <v>0.26035294117647056</v>
      </c>
      <c r="K78" s="33">
        <v>0.38964705882352935</v>
      </c>
      <c r="L78" s="33">
        <v>1.3290588235294116</v>
      </c>
      <c r="M78" s="43">
        <v>0</v>
      </c>
      <c r="N78" s="33">
        <v>0.38517647058823523</v>
      </c>
      <c r="O78" s="33">
        <v>183.09623529411763</v>
      </c>
      <c r="P78" s="33">
        <v>22.205411764705879</v>
      </c>
      <c r="Q78" s="33">
        <v>23.802352941176469</v>
      </c>
      <c r="R78" s="33">
        <v>9.605294117647059</v>
      </c>
      <c r="S78" s="33">
        <v>1.3250588235294116</v>
      </c>
      <c r="T78" s="33">
        <v>78.058352941176466</v>
      </c>
      <c r="U78" s="33">
        <v>0.12917647058823528</v>
      </c>
      <c r="V78" s="33">
        <v>0.15799999999999997</v>
      </c>
      <c r="W78" s="33">
        <v>643.92141176470579</v>
      </c>
      <c r="X78" s="33">
        <v>23.864235294117645</v>
      </c>
      <c r="Y78" s="33">
        <v>150.41376470588236</v>
      </c>
      <c r="Z78" s="33">
        <v>7.5454117647058823</v>
      </c>
      <c r="AA78" s="33">
        <v>3.8204705882352936</v>
      </c>
      <c r="AB78" s="33">
        <v>37.186470588235288</v>
      </c>
      <c r="AC78" s="43">
        <v>0</v>
      </c>
      <c r="AD78" s="33">
        <v>1.1776470588235293</v>
      </c>
      <c r="AE78" s="21">
        <v>0.24164705882352938</v>
      </c>
      <c r="AF78" s="33">
        <v>0.39011764705882351</v>
      </c>
      <c r="AG78" s="33">
        <v>0.14752941176470588</v>
      </c>
      <c r="AH78" s="33">
        <v>0.24552941176470586</v>
      </c>
      <c r="AI78" s="33">
        <v>7.6562352941176464</v>
      </c>
    </row>
    <row r="79" spans="1:35" x14ac:dyDescent="0.3">
      <c r="A79" s="32" t="s">
        <v>1268</v>
      </c>
      <c r="B79" s="20" t="s">
        <v>1269</v>
      </c>
      <c r="C79" s="20" t="s">
        <v>261</v>
      </c>
      <c r="D79" s="20" t="s">
        <v>282</v>
      </c>
      <c r="E79" s="20">
        <v>2</v>
      </c>
      <c r="F79" s="20" t="s">
        <v>1193</v>
      </c>
      <c r="G79" s="46">
        <v>11.999999999999789</v>
      </c>
      <c r="H79" s="41" t="s">
        <v>1472</v>
      </c>
      <c r="I79" s="44">
        <f>SUM(J79:AI79)</f>
        <v>541.23964705882361</v>
      </c>
      <c r="J79" s="33">
        <v>0.19023529411764706</v>
      </c>
      <c r="K79" s="33">
        <v>0.28082352941176469</v>
      </c>
      <c r="L79" s="33">
        <v>0.82517647058823518</v>
      </c>
      <c r="M79" s="43">
        <v>0</v>
      </c>
      <c r="N79" s="33">
        <v>0.27200000000000002</v>
      </c>
      <c r="O79" s="33">
        <v>100.6075294117647</v>
      </c>
      <c r="P79" s="33">
        <v>7.9930588235294104</v>
      </c>
      <c r="Q79" s="33">
        <v>6.7719999999999994</v>
      </c>
      <c r="R79" s="33">
        <v>3.8388235294117643</v>
      </c>
      <c r="S79" s="33">
        <v>1.1112941176470588</v>
      </c>
      <c r="T79" s="33">
        <v>65.971058823529404</v>
      </c>
      <c r="U79" s="33">
        <v>0.15164705882352941</v>
      </c>
      <c r="V79" s="33">
        <v>0.11741176470588234</v>
      </c>
      <c r="W79" s="33">
        <v>182.73988235294115</v>
      </c>
      <c r="X79" s="33">
        <v>9.4964705882352938</v>
      </c>
      <c r="Y79" s="33">
        <v>104.76811764705883</v>
      </c>
      <c r="Z79" s="33">
        <v>2.160705882352941</v>
      </c>
      <c r="AA79" s="33">
        <v>1.2265882352941175</v>
      </c>
      <c r="AB79" s="33">
        <v>42.778235294117643</v>
      </c>
      <c r="AC79" s="43">
        <v>0</v>
      </c>
      <c r="AD79" s="33">
        <v>0.57999999999999996</v>
      </c>
      <c r="AE79" s="21">
        <v>0.16811764705882351</v>
      </c>
      <c r="AF79" s="33">
        <v>0.31764705882352939</v>
      </c>
      <c r="AG79" s="33">
        <v>0.1492941176470588</v>
      </c>
      <c r="AH79" s="33">
        <v>0.22188235294117642</v>
      </c>
      <c r="AI79" s="33">
        <v>8.5016470588235276</v>
      </c>
    </row>
    <row r="80" spans="1:35" x14ac:dyDescent="0.3">
      <c r="A80" s="32" t="s">
        <v>1220</v>
      </c>
      <c r="B80" s="20" t="s">
        <v>1221</v>
      </c>
      <c r="C80" s="20" t="s">
        <v>20</v>
      </c>
      <c r="D80" s="20" t="s">
        <v>43</v>
      </c>
      <c r="E80" s="20">
        <v>6</v>
      </c>
      <c r="F80" s="20" t="s">
        <v>1193</v>
      </c>
      <c r="G80" s="46">
        <v>10.999999999999899</v>
      </c>
      <c r="H80" s="41" t="s">
        <v>1472</v>
      </c>
      <c r="I80" s="44">
        <f>SUM(J80:AI80)</f>
        <v>116.99811764705882</v>
      </c>
      <c r="J80" s="33">
        <v>0.23117647058823529</v>
      </c>
      <c r="K80" s="33">
        <v>0.25364705882352939</v>
      </c>
      <c r="L80" s="33">
        <v>0.27164705882352941</v>
      </c>
      <c r="M80" s="43">
        <v>0</v>
      </c>
      <c r="N80" s="33">
        <v>0.12258823529411764</v>
      </c>
      <c r="O80" s="33">
        <v>24.064588235294117</v>
      </c>
      <c r="P80" s="33">
        <v>1.4275294117647057</v>
      </c>
      <c r="Q80" s="33">
        <v>1.1172941176470588</v>
      </c>
      <c r="R80" s="33">
        <v>0.39799999999999996</v>
      </c>
      <c r="S80" s="33">
        <v>0.28576470588235292</v>
      </c>
      <c r="T80" s="33">
        <v>15.445294117647059</v>
      </c>
      <c r="U80" s="33">
        <v>7.929411764705882E-2</v>
      </c>
      <c r="V80" s="33">
        <v>7.2588235294117648E-2</v>
      </c>
      <c r="W80" s="33">
        <v>18.990941176470589</v>
      </c>
      <c r="X80" s="33">
        <v>1.4470588235294117</v>
      </c>
      <c r="Y80" s="33">
        <v>41.275882352941174</v>
      </c>
      <c r="Z80" s="33">
        <v>1.9612941176470586</v>
      </c>
      <c r="AA80" s="33">
        <v>0.3450588235294117</v>
      </c>
      <c r="AB80" s="33">
        <v>7.0914117647058825</v>
      </c>
      <c r="AC80" s="43">
        <v>0</v>
      </c>
      <c r="AD80" s="33">
        <v>0.33623529411764702</v>
      </c>
      <c r="AE80" s="21">
        <v>7.0588235294117646E-2</v>
      </c>
      <c r="AF80" s="33">
        <v>8.3294117647058824E-2</v>
      </c>
      <c r="AG80" s="33">
        <v>0.11411764705882352</v>
      </c>
      <c r="AH80" s="33">
        <v>8.7176470588235286E-2</v>
      </c>
      <c r="AI80" s="33">
        <v>1.4256470588235293</v>
      </c>
    </row>
    <row r="81" spans="1:35" x14ac:dyDescent="0.3">
      <c r="A81" s="32" t="s">
        <v>1214</v>
      </c>
      <c r="B81" s="20" t="s">
        <v>1215</v>
      </c>
      <c r="C81" s="20" t="s">
        <v>20</v>
      </c>
      <c r="D81" s="20" t="s">
        <v>47</v>
      </c>
      <c r="E81" s="20">
        <v>6</v>
      </c>
      <c r="F81" s="20" t="s">
        <v>1193</v>
      </c>
      <c r="G81" s="46">
        <v>9.000000000000119</v>
      </c>
      <c r="H81" s="41" t="s">
        <v>1472</v>
      </c>
      <c r="I81" s="44">
        <f>SUM(J81:AI81)</f>
        <v>173.26999999999998</v>
      </c>
      <c r="J81" s="33">
        <v>0.25164705882352939</v>
      </c>
      <c r="K81" s="33">
        <v>0.55364705882352938</v>
      </c>
      <c r="L81" s="33">
        <v>0.60082352941176465</v>
      </c>
      <c r="M81" s="43">
        <v>0</v>
      </c>
      <c r="N81" s="33">
        <v>0.21647058823529411</v>
      </c>
      <c r="O81" s="33">
        <v>41.564823529411761</v>
      </c>
      <c r="P81" s="33">
        <v>0.68988235294117639</v>
      </c>
      <c r="Q81" s="33">
        <v>1.3997647058823528</v>
      </c>
      <c r="R81" s="33">
        <v>1.0243529411764705</v>
      </c>
      <c r="S81" s="33">
        <v>0.34823529411764703</v>
      </c>
      <c r="T81" s="33">
        <v>13.713764705882351</v>
      </c>
      <c r="U81" s="33">
        <v>6.2705882352941167E-2</v>
      </c>
      <c r="V81" s="33">
        <v>6.023529411764706E-2</v>
      </c>
      <c r="W81" s="33">
        <v>31.755764705882353</v>
      </c>
      <c r="X81" s="33">
        <v>2.1634117647058821</v>
      </c>
      <c r="Y81" s="33">
        <v>64.975529411764697</v>
      </c>
      <c r="Z81" s="33">
        <v>4.2832941176470589</v>
      </c>
      <c r="AA81" s="33">
        <v>0.72835294117647054</v>
      </c>
      <c r="AB81" s="33">
        <v>6.587529411764705</v>
      </c>
      <c r="AC81" s="43">
        <v>0</v>
      </c>
      <c r="AD81" s="33">
        <v>0.53717647058823526</v>
      </c>
      <c r="AE81" s="21">
        <v>0.12917647058823528</v>
      </c>
      <c r="AF81" s="33">
        <v>8.1764705882352934E-2</v>
      </c>
      <c r="AG81" s="33">
        <v>0.18282352941176469</v>
      </c>
      <c r="AH81" s="33">
        <v>4.1294117647058821E-2</v>
      </c>
      <c r="AI81" s="33">
        <v>1.3175294117647058</v>
      </c>
    </row>
    <row r="82" spans="1:35" x14ac:dyDescent="0.3">
      <c r="A82" s="32" t="s">
        <v>1216</v>
      </c>
      <c r="B82" s="20" t="s">
        <v>1217</v>
      </c>
      <c r="C82" s="20" t="s">
        <v>20</v>
      </c>
      <c r="D82" s="20" t="s">
        <v>49</v>
      </c>
      <c r="E82" s="20">
        <v>6</v>
      </c>
      <c r="F82" s="20" t="s">
        <v>1193</v>
      </c>
      <c r="G82" s="46">
        <v>12.999999999999678</v>
      </c>
      <c r="H82" s="41" t="s">
        <v>1472</v>
      </c>
      <c r="I82" s="44">
        <f>SUM(J82:AI82)</f>
        <v>128.85388235294116</v>
      </c>
      <c r="J82" s="33">
        <v>0.46305882352941174</v>
      </c>
      <c r="K82" s="33">
        <v>1.1224705882352939</v>
      </c>
      <c r="L82" s="33">
        <v>0.67364705882352938</v>
      </c>
      <c r="M82" s="43">
        <v>0</v>
      </c>
      <c r="N82" s="33">
        <v>0.16717647058823529</v>
      </c>
      <c r="O82" s="33">
        <v>31.901529411764702</v>
      </c>
      <c r="P82" s="33">
        <v>0.27823529411764703</v>
      </c>
      <c r="Q82" s="33">
        <v>0.51658823529411757</v>
      </c>
      <c r="R82" s="33">
        <v>0.54776470588235282</v>
      </c>
      <c r="S82" s="33">
        <v>0.26635294117647057</v>
      </c>
      <c r="T82" s="33">
        <v>11.327294117647059</v>
      </c>
      <c r="U82" s="33">
        <v>3.7764705882352943E-2</v>
      </c>
      <c r="V82" s="33">
        <v>6.023529411764706E-2</v>
      </c>
      <c r="W82" s="33">
        <v>19.227058823529411</v>
      </c>
      <c r="X82" s="33">
        <v>1.5335294117647056</v>
      </c>
      <c r="Y82" s="33">
        <v>50.453647058823528</v>
      </c>
      <c r="Z82" s="33">
        <v>3.3103529411764705</v>
      </c>
      <c r="AA82" s="33">
        <v>0.27282352941176469</v>
      </c>
      <c r="AB82" s="33">
        <v>5.2459999999999996</v>
      </c>
      <c r="AC82" s="43">
        <v>0</v>
      </c>
      <c r="AD82" s="33">
        <v>0.2677647058823529</v>
      </c>
      <c r="AE82" s="21">
        <v>6.8941176470588228E-2</v>
      </c>
      <c r="AF82" s="33">
        <v>6.329411764705882E-2</v>
      </c>
      <c r="AG82" s="33">
        <v>9.8823529411764685E-2</v>
      </c>
      <c r="AH82" s="33">
        <v>3.5882352941176469E-2</v>
      </c>
      <c r="AI82" s="33">
        <v>0.91364705882352937</v>
      </c>
    </row>
    <row r="83" spans="1:35" x14ac:dyDescent="0.3">
      <c r="A83" s="32" t="s">
        <v>1218</v>
      </c>
      <c r="B83" s="20" t="s">
        <v>1219</v>
      </c>
      <c r="C83" s="20" t="s">
        <v>20</v>
      </c>
      <c r="D83" s="20" t="s">
        <v>45</v>
      </c>
      <c r="E83" s="20">
        <v>6</v>
      </c>
      <c r="F83" s="20" t="s">
        <v>1193</v>
      </c>
      <c r="G83" s="46">
        <v>12.499999999999734</v>
      </c>
      <c r="H83" s="41" t="s">
        <v>1472</v>
      </c>
      <c r="I83" s="44">
        <f>SUM(J83:AI83)</f>
        <v>161.7655294117647</v>
      </c>
      <c r="J83" s="33">
        <v>0.31952941176470584</v>
      </c>
      <c r="K83" s="33">
        <v>1.0634117647058823</v>
      </c>
      <c r="L83" s="33">
        <v>0.65376470588235291</v>
      </c>
      <c r="M83" s="43">
        <v>0</v>
      </c>
      <c r="N83" s="33">
        <v>0.18647058823529411</v>
      </c>
      <c r="O83" s="33">
        <v>36.387999999999998</v>
      </c>
      <c r="P83" s="33">
        <v>0.51</v>
      </c>
      <c r="Q83" s="33">
        <v>1.4295294117647059</v>
      </c>
      <c r="R83" s="33">
        <v>0.75317647058823511</v>
      </c>
      <c r="S83" s="33">
        <v>0.39341176470588229</v>
      </c>
      <c r="T83" s="33">
        <v>19.100352941176467</v>
      </c>
      <c r="U83" s="33">
        <v>6.6823529411764698E-2</v>
      </c>
      <c r="V83" s="33">
        <v>9.8470588235294115E-2</v>
      </c>
      <c r="W83" s="33">
        <v>26.275882352941174</v>
      </c>
      <c r="X83" s="33">
        <v>2.156705882352941</v>
      </c>
      <c r="Y83" s="33">
        <v>56.819294117647061</v>
      </c>
      <c r="Z83" s="33">
        <v>3.3231764705882352</v>
      </c>
      <c r="AA83" s="33">
        <v>0.67929411764705872</v>
      </c>
      <c r="AB83" s="33">
        <v>8.9788235294117644</v>
      </c>
      <c r="AC83" s="43">
        <v>0</v>
      </c>
      <c r="AD83" s="33">
        <v>0.5139999999999999</v>
      </c>
      <c r="AE83" s="21">
        <v>0.10623529411764705</v>
      </c>
      <c r="AF83" s="33">
        <v>0.14964705882352941</v>
      </c>
      <c r="AG83" s="33">
        <v>0.19552941176470587</v>
      </c>
      <c r="AH83" s="33">
        <v>8.9529411764705871E-2</v>
      </c>
      <c r="AI83" s="33">
        <v>1.5144705882352942</v>
      </c>
    </row>
    <row r="84" spans="1:35" x14ac:dyDescent="0.3">
      <c r="A84" s="32" t="s">
        <v>1244</v>
      </c>
      <c r="B84" s="20" t="s">
        <v>1245</v>
      </c>
      <c r="C84" s="20" t="s">
        <v>146</v>
      </c>
      <c r="D84" s="20" t="s">
        <v>167</v>
      </c>
      <c r="E84" s="20">
        <v>6</v>
      </c>
      <c r="F84" s="20" t="s">
        <v>1193</v>
      </c>
      <c r="G84" s="46">
        <v>12.499999999999734</v>
      </c>
      <c r="H84" s="41" t="s">
        <v>1472</v>
      </c>
      <c r="I84" s="44">
        <f>SUM(J84:AI84)</f>
        <v>130.90129411764704</v>
      </c>
      <c r="J84" s="33">
        <v>0.19352941176470587</v>
      </c>
      <c r="K84" s="33">
        <v>0.20129411764705882</v>
      </c>
      <c r="L84" s="33">
        <v>0.40929411764705881</v>
      </c>
      <c r="M84" s="43">
        <v>0</v>
      </c>
      <c r="N84" s="33">
        <v>0.28270588235294114</v>
      </c>
      <c r="O84" s="33">
        <v>40.579411764705881</v>
      </c>
      <c r="P84" s="33">
        <v>0.58423529411764707</v>
      </c>
      <c r="Q84" s="33">
        <v>3.0515294117647058</v>
      </c>
      <c r="R84" s="33">
        <v>1.2928235294117647</v>
      </c>
      <c r="S84" s="33">
        <v>0.36870588235294116</v>
      </c>
      <c r="T84" s="33">
        <v>11.373882352941175</v>
      </c>
      <c r="U84" s="33">
        <v>3.7999999999999992E-2</v>
      </c>
      <c r="V84" s="33">
        <v>5.5058823529411764E-2</v>
      </c>
      <c r="W84" s="33">
        <v>23.076941176470587</v>
      </c>
      <c r="X84" s="33">
        <v>2.047411764705882</v>
      </c>
      <c r="Y84" s="33">
        <v>34.447529411764705</v>
      </c>
      <c r="Z84" s="33">
        <v>0.84435294117647053</v>
      </c>
      <c r="AA84" s="33">
        <v>0.32399999999999995</v>
      </c>
      <c r="AB84" s="33">
        <v>9.616470588235293</v>
      </c>
      <c r="AC84" s="43">
        <v>0</v>
      </c>
      <c r="AD84" s="33">
        <v>0.2677647058823529</v>
      </c>
      <c r="AE84" s="21">
        <v>8.2823529411764699E-2</v>
      </c>
      <c r="AF84" s="33">
        <v>5.1647058823529407E-2</v>
      </c>
      <c r="AG84" s="33">
        <v>0.13941176470588235</v>
      </c>
      <c r="AH84" s="33">
        <v>6.1764705882352937E-2</v>
      </c>
      <c r="AI84" s="33">
        <v>1.5107058823529411</v>
      </c>
    </row>
    <row r="85" spans="1:35" x14ac:dyDescent="0.3">
      <c r="A85" s="32" t="s">
        <v>1246</v>
      </c>
      <c r="B85" s="20" t="s">
        <v>1247</v>
      </c>
      <c r="C85" s="20" t="s">
        <v>146</v>
      </c>
      <c r="D85" s="20" t="s">
        <v>169</v>
      </c>
      <c r="E85" s="20">
        <v>6</v>
      </c>
      <c r="F85" s="20" t="s">
        <v>1193</v>
      </c>
      <c r="G85" s="46">
        <v>6.4999999999992841</v>
      </c>
      <c r="H85" s="41" t="s">
        <v>1472</v>
      </c>
      <c r="I85" s="44">
        <f>SUM(J85:AI85)</f>
        <v>207.27258823529411</v>
      </c>
      <c r="J85" s="33">
        <v>0.18235294117647058</v>
      </c>
      <c r="K85" s="33">
        <v>0.18258823529411763</v>
      </c>
      <c r="L85" s="33">
        <v>0.41905882352941171</v>
      </c>
      <c r="M85" s="43">
        <v>0</v>
      </c>
      <c r="N85" s="33">
        <v>0.33952941176470586</v>
      </c>
      <c r="O85" s="33">
        <v>67.015764705882347</v>
      </c>
      <c r="P85" s="33">
        <v>0.48905882352941177</v>
      </c>
      <c r="Q85" s="33">
        <v>0.49235294117647055</v>
      </c>
      <c r="R85" s="33">
        <v>2.8616470588235292</v>
      </c>
      <c r="S85" s="33">
        <v>0.54047058823529415</v>
      </c>
      <c r="T85" s="33">
        <v>20.443529411764704</v>
      </c>
      <c r="U85" s="33">
        <v>0.12105882352941176</v>
      </c>
      <c r="V85" s="33">
        <v>6.8705882352941172E-2</v>
      </c>
      <c r="W85" s="33">
        <v>20.133882352941175</v>
      </c>
      <c r="X85" s="33">
        <v>2.648705882352941</v>
      </c>
      <c r="Y85" s="33">
        <v>66.421176470588236</v>
      </c>
      <c r="Z85" s="33">
        <v>0.880235294117647</v>
      </c>
      <c r="AA85" s="33">
        <v>0.1416470588235294</v>
      </c>
      <c r="AB85" s="33">
        <v>19.651294117647058</v>
      </c>
      <c r="AC85" s="43">
        <v>0</v>
      </c>
      <c r="AD85" s="33">
        <v>0.16058823529411764</v>
      </c>
      <c r="AE85" s="21">
        <v>4.6470588235294118E-2</v>
      </c>
      <c r="AF85" s="33">
        <v>0.14964705882352941</v>
      </c>
      <c r="AG85" s="33">
        <v>8.4705882352941173E-2</v>
      </c>
      <c r="AH85" s="33">
        <v>0.10952941176470588</v>
      </c>
      <c r="AI85" s="33">
        <v>3.6885882352941173</v>
      </c>
    </row>
    <row r="86" spans="1:35" x14ac:dyDescent="0.3">
      <c r="A86" s="32" t="s">
        <v>1242</v>
      </c>
      <c r="B86" s="20" t="s">
        <v>1243</v>
      </c>
      <c r="C86" s="20" t="s">
        <v>146</v>
      </c>
      <c r="D86" s="20" t="s">
        <v>161</v>
      </c>
      <c r="E86" s="20">
        <v>6</v>
      </c>
      <c r="F86" s="20" t="s">
        <v>1193</v>
      </c>
      <c r="G86" s="46">
        <v>19.000000000000128</v>
      </c>
      <c r="H86" s="41" t="s">
        <v>1472</v>
      </c>
      <c r="I86" s="44">
        <f>SUM(J86:AI86)</f>
        <v>224.01152941176471</v>
      </c>
      <c r="J86" s="33">
        <v>0.23070588235294115</v>
      </c>
      <c r="K86" s="33">
        <v>0.66376470588235281</v>
      </c>
      <c r="L86" s="33">
        <v>0.54</v>
      </c>
      <c r="M86" s="43">
        <v>0</v>
      </c>
      <c r="N86" s="33">
        <v>0.3664705882352941</v>
      </c>
      <c r="O86" s="33">
        <v>43.099529411764706</v>
      </c>
      <c r="P86" s="33">
        <v>1.1081176470588234</v>
      </c>
      <c r="Q86" s="33">
        <v>3.3814117647058821</v>
      </c>
      <c r="R86" s="33">
        <v>0.90188235294117647</v>
      </c>
      <c r="S86" s="33">
        <v>0.63329411764705879</v>
      </c>
      <c r="T86" s="33">
        <v>27.953176470588232</v>
      </c>
      <c r="U86" s="33">
        <v>9.2117647058823526E-2</v>
      </c>
      <c r="V86" s="33">
        <v>7.3529411764705885E-2</v>
      </c>
      <c r="W86" s="33">
        <v>44.702235294117642</v>
      </c>
      <c r="X86" s="33">
        <v>3.1008235294117648</v>
      </c>
      <c r="Y86" s="33">
        <v>75.841294117647053</v>
      </c>
      <c r="Z86" s="33">
        <v>3.4329411764705879</v>
      </c>
      <c r="AA86" s="33">
        <v>1.0432941176470587</v>
      </c>
      <c r="AB86" s="33">
        <v>13.213647058823527</v>
      </c>
      <c r="AC86" s="43">
        <v>0</v>
      </c>
      <c r="AD86" s="33">
        <v>0.748470588235294</v>
      </c>
      <c r="AE86" s="21">
        <v>0.1492941176470588</v>
      </c>
      <c r="AF86" s="33">
        <v>0.12811764705882353</v>
      </c>
      <c r="AG86" s="33">
        <v>0.31094117647058822</v>
      </c>
      <c r="AH86" s="33">
        <v>5.0352941176470586E-2</v>
      </c>
      <c r="AI86" s="33">
        <v>2.2461176470588233</v>
      </c>
    </row>
    <row r="87" spans="1:35" x14ac:dyDescent="0.3">
      <c r="A87" s="32" t="s">
        <v>1248</v>
      </c>
      <c r="B87" s="20" t="s">
        <v>1249</v>
      </c>
      <c r="C87" s="20" t="s">
        <v>146</v>
      </c>
      <c r="D87" s="20" t="s">
        <v>163</v>
      </c>
      <c r="E87" s="20">
        <v>6</v>
      </c>
      <c r="F87" s="20" t="s">
        <v>1193</v>
      </c>
      <c r="G87" s="46">
        <v>10.000000000000009</v>
      </c>
      <c r="H87" s="41" t="s">
        <v>1472</v>
      </c>
      <c r="I87" s="44">
        <f>SUM(J87:AI87)</f>
        <v>369.20152941176468</v>
      </c>
      <c r="J87" s="33">
        <v>0.19294117647058823</v>
      </c>
      <c r="K87" s="33">
        <v>0.29541176470588232</v>
      </c>
      <c r="L87" s="33">
        <v>0.94776470588235295</v>
      </c>
      <c r="M87" s="43">
        <v>0</v>
      </c>
      <c r="N87" s="33">
        <v>0.61399999999999999</v>
      </c>
      <c r="O87" s="33">
        <v>77.722117647058809</v>
      </c>
      <c r="P87" s="33">
        <v>4.0822352941176474</v>
      </c>
      <c r="Q87" s="33">
        <v>10.049411764705882</v>
      </c>
      <c r="R87" s="33">
        <v>2.8464705882352939</v>
      </c>
      <c r="S87" s="33">
        <v>0.91176470588235281</v>
      </c>
      <c r="T87" s="33">
        <v>41.933764705882346</v>
      </c>
      <c r="U87" s="33">
        <v>0.21717647058823528</v>
      </c>
      <c r="V87" s="33">
        <v>0.18564705882352939</v>
      </c>
      <c r="W87" s="33">
        <v>93.04247058823529</v>
      </c>
      <c r="X87" s="33">
        <v>6.892941176470587</v>
      </c>
      <c r="Y87" s="33">
        <v>89.702588235294115</v>
      </c>
      <c r="Z87" s="33">
        <v>2.4631764705882353</v>
      </c>
      <c r="AA87" s="33">
        <v>0.94694117647058818</v>
      </c>
      <c r="AB87" s="33">
        <v>28.842588235294116</v>
      </c>
      <c r="AC87" s="43">
        <v>0</v>
      </c>
      <c r="AD87" s="33">
        <v>0.62141176470588233</v>
      </c>
      <c r="AE87" s="21">
        <v>0.17623529411764705</v>
      </c>
      <c r="AF87" s="33">
        <v>0.27447058823529408</v>
      </c>
      <c r="AG87" s="33">
        <v>0.27400000000000002</v>
      </c>
      <c r="AH87" s="33">
        <v>0.19494117647058823</v>
      </c>
      <c r="AI87" s="33">
        <v>5.7710588235294109</v>
      </c>
    </row>
    <row r="88" spans="1:35" x14ac:dyDescent="0.3">
      <c r="A88" s="32" t="s">
        <v>1250</v>
      </c>
      <c r="B88" s="20" t="s">
        <v>1251</v>
      </c>
      <c r="C88" s="20" t="s">
        <v>146</v>
      </c>
      <c r="D88" s="20" t="s">
        <v>165</v>
      </c>
      <c r="E88" s="20">
        <v>6</v>
      </c>
      <c r="F88" s="20" t="s">
        <v>1193</v>
      </c>
      <c r="G88" s="46">
        <v>21.499999999999851</v>
      </c>
      <c r="H88" s="41" t="s">
        <v>1472</v>
      </c>
      <c r="I88" s="44">
        <f>SUM(J88:AI88)</f>
        <v>336.32611764705877</v>
      </c>
      <c r="J88" s="33">
        <v>0.21552941176470586</v>
      </c>
      <c r="K88" s="33">
        <v>0.27058823529411763</v>
      </c>
      <c r="L88" s="33">
        <v>0.6319999999999999</v>
      </c>
      <c r="M88" s="43">
        <v>0</v>
      </c>
      <c r="N88" s="33">
        <v>0.61764705882352933</v>
      </c>
      <c r="O88" s="33">
        <v>66.012235294117644</v>
      </c>
      <c r="P88" s="33">
        <v>3.7731764705882349</v>
      </c>
      <c r="Q88" s="33">
        <v>5.5435294117647054</v>
      </c>
      <c r="R88" s="33">
        <v>2.0171764705882351</v>
      </c>
      <c r="S88" s="33">
        <v>0.83282352941176474</v>
      </c>
      <c r="T88" s="33">
        <v>41.348941176470589</v>
      </c>
      <c r="U88" s="33">
        <v>0.21023529411764705</v>
      </c>
      <c r="V88" s="33">
        <v>0.13305882352941176</v>
      </c>
      <c r="W88" s="33">
        <v>95.209764705882336</v>
      </c>
      <c r="X88" s="33">
        <v>5.6654117647058815</v>
      </c>
      <c r="Y88" s="33">
        <v>75.360705882352931</v>
      </c>
      <c r="Z88" s="33">
        <v>1.55</v>
      </c>
      <c r="AA88" s="33">
        <v>1.016470588235294</v>
      </c>
      <c r="AB88" s="33">
        <v>29.392705882352939</v>
      </c>
      <c r="AC88" s="43">
        <v>0</v>
      </c>
      <c r="AD88" s="33">
        <v>0.62270588235294111</v>
      </c>
      <c r="AE88" s="21">
        <v>0.17152941176470585</v>
      </c>
      <c r="AF88" s="33">
        <v>0.27588235294117641</v>
      </c>
      <c r="AG88" s="33">
        <v>0.23494117647058824</v>
      </c>
      <c r="AH88" s="33">
        <v>0.14752941176470588</v>
      </c>
      <c r="AI88" s="33">
        <v>5.0715294117647058</v>
      </c>
    </row>
    <row r="89" spans="1:35" x14ac:dyDescent="0.3">
      <c r="A89" s="32" t="s">
        <v>1280</v>
      </c>
      <c r="B89" s="20" t="s">
        <v>1281</v>
      </c>
      <c r="C89" s="20" t="s">
        <v>261</v>
      </c>
      <c r="D89" s="20" t="s">
        <v>284</v>
      </c>
      <c r="E89" s="20">
        <v>6</v>
      </c>
      <c r="F89" s="20" t="s">
        <v>1193</v>
      </c>
      <c r="G89" s="46">
        <v>9.5000000000000639</v>
      </c>
      <c r="H89" s="41" t="s">
        <v>1472</v>
      </c>
      <c r="I89" s="44">
        <f>SUM(J89:AI89)</f>
        <v>264.77341176470583</v>
      </c>
      <c r="J89" s="33">
        <v>0.38647058823529407</v>
      </c>
      <c r="K89" s="33">
        <v>0.75447058823529412</v>
      </c>
      <c r="L89" s="33">
        <v>1.9338823529411764</v>
      </c>
      <c r="M89" s="43">
        <v>0</v>
      </c>
      <c r="N89" s="33">
        <v>1.1291764705882352</v>
      </c>
      <c r="O89" s="33">
        <v>65.555529411764695</v>
      </c>
      <c r="P89" s="33">
        <v>4.4399999999999995</v>
      </c>
      <c r="Q89" s="33">
        <v>8.1391764705882341</v>
      </c>
      <c r="R89" s="33">
        <v>2.3340000000000001</v>
      </c>
      <c r="S89" s="33">
        <v>0.80764705882352938</v>
      </c>
      <c r="T89" s="33">
        <v>28.882470588235293</v>
      </c>
      <c r="U89" s="33">
        <v>0.18823529411764706</v>
      </c>
      <c r="V89" s="33">
        <v>0.1096470588235294</v>
      </c>
      <c r="W89" s="33">
        <v>53.788823529411758</v>
      </c>
      <c r="X89" s="33">
        <v>4.2021176470588228</v>
      </c>
      <c r="Y89" s="33">
        <v>72.591294117647053</v>
      </c>
      <c r="Z89" s="33">
        <v>2.5734117647058818</v>
      </c>
      <c r="AA89" s="33">
        <v>1.1417647058823528</v>
      </c>
      <c r="AB89" s="33">
        <v>12.377529411764705</v>
      </c>
      <c r="AC89" s="43">
        <v>0</v>
      </c>
      <c r="AD89" s="33">
        <v>0.70576470588235285</v>
      </c>
      <c r="AE89" s="21">
        <v>0.18952941176470586</v>
      </c>
      <c r="AF89" s="33">
        <v>0.12717647058823528</v>
      </c>
      <c r="AG89" s="33">
        <v>0.20023529411764704</v>
      </c>
      <c r="AH89" s="33">
        <v>0.10623529411764705</v>
      </c>
      <c r="AI89" s="33">
        <v>2.1088235294117643</v>
      </c>
    </row>
    <row r="90" spans="1:35" x14ac:dyDescent="0.3">
      <c r="A90" s="32" t="s">
        <v>1282</v>
      </c>
      <c r="B90" s="20" t="s">
        <v>1283</v>
      </c>
      <c r="C90" s="20" t="s">
        <v>261</v>
      </c>
      <c r="D90" s="20" t="s">
        <v>286</v>
      </c>
      <c r="E90" s="20">
        <v>6</v>
      </c>
      <c r="F90" s="20" t="s">
        <v>1193</v>
      </c>
      <c r="G90" s="46">
        <v>9.5000000000000639</v>
      </c>
      <c r="H90" s="41" t="s">
        <v>1472</v>
      </c>
      <c r="I90" s="44">
        <f>SUM(J90:AI90)</f>
        <v>126.87447058823527</v>
      </c>
      <c r="J90" s="33">
        <v>0.24</v>
      </c>
      <c r="K90" s="33">
        <v>0.36117647058823527</v>
      </c>
      <c r="L90" s="33">
        <v>0.4845882352941176</v>
      </c>
      <c r="M90" s="43">
        <v>0</v>
      </c>
      <c r="N90" s="33">
        <v>0.18364705882352941</v>
      </c>
      <c r="O90" s="33">
        <v>26.438117647058824</v>
      </c>
      <c r="P90" s="33">
        <v>0.47035294117647058</v>
      </c>
      <c r="Q90" s="33">
        <v>1.0510588235294118</v>
      </c>
      <c r="R90" s="33">
        <v>0.56764705882352939</v>
      </c>
      <c r="S90" s="33">
        <v>0.25941176470588234</v>
      </c>
      <c r="T90" s="33">
        <v>10.47270588235294</v>
      </c>
      <c r="U90" s="33">
        <v>0.05</v>
      </c>
      <c r="V90" s="33">
        <v>5.8941176470588226E-2</v>
      </c>
      <c r="W90" s="33">
        <v>24.379411764705878</v>
      </c>
      <c r="X90" s="33">
        <v>2.044941176470588</v>
      </c>
      <c r="Y90" s="33">
        <v>49.132470588235293</v>
      </c>
      <c r="Z90" s="33">
        <v>2.9568235294117646</v>
      </c>
      <c r="AA90" s="33">
        <v>0.29576470588235293</v>
      </c>
      <c r="AB90" s="33">
        <v>6.0651764705882352</v>
      </c>
      <c r="AC90" s="43">
        <v>0</v>
      </c>
      <c r="AD90" s="33">
        <v>0.27941176470588236</v>
      </c>
      <c r="AE90" s="21">
        <v>6.6235294117647045E-2</v>
      </c>
      <c r="AF90" s="33">
        <v>6.7058823529411768E-2</v>
      </c>
      <c r="AG90" s="33">
        <v>9.7764705882352934E-2</v>
      </c>
      <c r="AH90" s="33">
        <v>2.2705882352941176E-2</v>
      </c>
      <c r="AI90" s="33">
        <v>0.82905882352941174</v>
      </c>
    </row>
    <row r="91" spans="1:35" x14ac:dyDescent="0.3">
      <c r="A91" s="32" t="s">
        <v>1274</v>
      </c>
      <c r="B91" s="20" t="s">
        <v>1275</v>
      </c>
      <c r="C91" s="20" t="s">
        <v>261</v>
      </c>
      <c r="D91" s="20" t="s">
        <v>290</v>
      </c>
      <c r="E91" s="20">
        <v>6</v>
      </c>
      <c r="F91" s="20" t="s">
        <v>1193</v>
      </c>
      <c r="G91" s="46">
        <v>7.499999999999174</v>
      </c>
      <c r="H91" s="41" t="s">
        <v>1472</v>
      </c>
      <c r="I91" s="44">
        <f>SUM(J91:AI91)</f>
        <v>237.32117647058823</v>
      </c>
      <c r="J91" s="33">
        <v>0.18105882352941174</v>
      </c>
      <c r="K91" s="33">
        <v>0.28988235294117642</v>
      </c>
      <c r="L91" s="33">
        <v>0.52199999999999991</v>
      </c>
      <c r="M91" s="43">
        <v>0</v>
      </c>
      <c r="N91" s="33">
        <v>0.24341176470588233</v>
      </c>
      <c r="O91" s="33">
        <v>52.986705882352936</v>
      </c>
      <c r="P91" s="33">
        <v>1.2922352941176469</v>
      </c>
      <c r="Q91" s="33">
        <v>3.0172941176470585</v>
      </c>
      <c r="R91" s="33">
        <v>1.3961176470588235</v>
      </c>
      <c r="S91" s="33">
        <v>0.69717647058823529</v>
      </c>
      <c r="T91" s="33">
        <v>33.765411764705881</v>
      </c>
      <c r="U91" s="33">
        <v>0.22082352941176467</v>
      </c>
      <c r="V91" s="33">
        <v>0.16129411764705881</v>
      </c>
      <c r="W91" s="33">
        <v>37.190705882352937</v>
      </c>
      <c r="X91" s="33">
        <v>3.4989411764705882</v>
      </c>
      <c r="Y91" s="33">
        <v>71.07858823529412</v>
      </c>
      <c r="Z91" s="33">
        <v>2.0103529411764707</v>
      </c>
      <c r="AA91" s="33">
        <v>0.8356470588235293</v>
      </c>
      <c r="AB91" s="33">
        <v>21.646235294117645</v>
      </c>
      <c r="AC91" s="43">
        <v>0</v>
      </c>
      <c r="AD91" s="33">
        <v>0.53305882352941181</v>
      </c>
      <c r="AE91" s="21">
        <v>0.14505882352941177</v>
      </c>
      <c r="AF91" s="33">
        <v>0.15941176470588234</v>
      </c>
      <c r="AG91" s="33">
        <v>0.27305882352941174</v>
      </c>
      <c r="AH91" s="33">
        <v>0.11929411764705881</v>
      </c>
      <c r="AI91" s="33">
        <v>5.0574117647058818</v>
      </c>
    </row>
    <row r="92" spans="1:35" x14ac:dyDescent="0.3">
      <c r="A92" s="32" t="s">
        <v>1276</v>
      </c>
      <c r="B92" s="20" t="s">
        <v>1277</v>
      </c>
      <c r="C92" s="20" t="s">
        <v>261</v>
      </c>
      <c r="D92" s="20" t="s">
        <v>292</v>
      </c>
      <c r="E92" s="20">
        <v>6</v>
      </c>
      <c r="F92" s="20" t="s">
        <v>1193</v>
      </c>
      <c r="G92" s="46">
        <v>4.5000000000006146</v>
      </c>
      <c r="H92" s="41" t="s">
        <v>1472</v>
      </c>
      <c r="I92" s="44">
        <f>SUM(J92:AI92)</f>
        <v>263.4792941176471</v>
      </c>
      <c r="J92" s="33">
        <v>0.21470588235294114</v>
      </c>
      <c r="K92" s="33">
        <v>0.32470588235294112</v>
      </c>
      <c r="L92" s="33">
        <v>0.64247058823529402</v>
      </c>
      <c r="M92" s="43">
        <v>0</v>
      </c>
      <c r="N92" s="33">
        <v>0.23047058823529409</v>
      </c>
      <c r="O92" s="33">
        <v>60.281294117647057</v>
      </c>
      <c r="P92" s="33">
        <v>1.3250588235294116</v>
      </c>
      <c r="Q92" s="33">
        <v>2.4322352941176471</v>
      </c>
      <c r="R92" s="33">
        <v>1.6829411764705882</v>
      </c>
      <c r="S92" s="33">
        <v>0.64858823529411758</v>
      </c>
      <c r="T92" s="33">
        <v>38.494235294117644</v>
      </c>
      <c r="U92" s="33">
        <v>0.20964705882352938</v>
      </c>
      <c r="V92" s="33">
        <v>0.20305882352941176</v>
      </c>
      <c r="W92" s="33">
        <v>42.127529411764698</v>
      </c>
      <c r="X92" s="33">
        <v>4.0189411764705882</v>
      </c>
      <c r="Y92" s="33">
        <v>76.653411764705879</v>
      </c>
      <c r="Z92" s="33">
        <v>2.1920000000000002</v>
      </c>
      <c r="AA92" s="33">
        <v>0.61917647058823533</v>
      </c>
      <c r="AB92" s="33">
        <v>25.238470588235291</v>
      </c>
      <c r="AC92" s="43">
        <v>0</v>
      </c>
      <c r="AD92" s="33">
        <v>0.41023529411764703</v>
      </c>
      <c r="AE92" s="21">
        <v>0.11117647058823528</v>
      </c>
      <c r="AF92" s="33">
        <v>0.28741176470588231</v>
      </c>
      <c r="AG92" s="33">
        <v>0.14552941176470588</v>
      </c>
      <c r="AH92" s="33">
        <v>0.17905882352941174</v>
      </c>
      <c r="AI92" s="33">
        <v>4.8069411764705876</v>
      </c>
    </row>
    <row r="93" spans="1:35" x14ac:dyDescent="0.3">
      <c r="A93" s="32" t="s">
        <v>1278</v>
      </c>
      <c r="B93" s="20" t="s">
        <v>1279</v>
      </c>
      <c r="C93" s="20" t="s">
        <v>261</v>
      </c>
      <c r="D93" s="20" t="s">
        <v>288</v>
      </c>
      <c r="E93" s="20">
        <v>6</v>
      </c>
      <c r="F93" s="20" t="s">
        <v>1193</v>
      </c>
      <c r="G93" s="46">
        <v>5.0000000000005596</v>
      </c>
      <c r="H93" s="41" t="s">
        <v>1472</v>
      </c>
      <c r="I93" s="44">
        <f>SUM(J93:AI93)</f>
        <v>262.54776470588229</v>
      </c>
      <c r="J93" s="33">
        <v>0.32588235294117646</v>
      </c>
      <c r="K93" s="33">
        <v>0.46776470588235286</v>
      </c>
      <c r="L93" s="33">
        <v>1.0543529411764705</v>
      </c>
      <c r="M93" s="43">
        <v>0</v>
      </c>
      <c r="N93" s="33">
        <v>0.36388235294117643</v>
      </c>
      <c r="O93" s="33">
        <v>71.678235294117641</v>
      </c>
      <c r="P93" s="33">
        <v>1.7394117647058822</v>
      </c>
      <c r="Q93" s="33">
        <v>3.9174117647058821</v>
      </c>
      <c r="R93" s="33">
        <v>2.7672941176470589</v>
      </c>
      <c r="S93" s="33">
        <v>0.86047058823529399</v>
      </c>
      <c r="T93" s="33">
        <v>40.128823529411761</v>
      </c>
      <c r="U93" s="33">
        <v>0.26882352941176468</v>
      </c>
      <c r="V93" s="33">
        <v>0.2384705882352941</v>
      </c>
      <c r="W93" s="33">
        <v>32.833176470588235</v>
      </c>
      <c r="X93" s="33">
        <v>3.4208235294117642</v>
      </c>
      <c r="Y93" s="33">
        <v>63.758823529411764</v>
      </c>
      <c r="Z93" s="33">
        <v>0.50764705882352934</v>
      </c>
      <c r="AA93" s="33">
        <v>0.50094117647058822</v>
      </c>
      <c r="AB93" s="33">
        <v>30.880352941176472</v>
      </c>
      <c r="AC93" s="43">
        <v>0</v>
      </c>
      <c r="AD93" s="33">
        <v>0.31141176470588233</v>
      </c>
      <c r="AE93" s="21">
        <v>0.11235294117647057</v>
      </c>
      <c r="AF93" s="33">
        <v>0.24152941176470585</v>
      </c>
      <c r="AG93" s="33">
        <v>0.10376470588235293</v>
      </c>
      <c r="AH93" s="33">
        <v>0.1404705882352941</v>
      </c>
      <c r="AI93" s="33">
        <v>5.9256470588235288</v>
      </c>
    </row>
    <row r="94" spans="1:35" x14ac:dyDescent="0.3">
      <c r="A94" s="32" t="s">
        <v>1284</v>
      </c>
      <c r="B94" s="20" t="s">
        <v>1285</v>
      </c>
      <c r="C94" s="20" t="s">
        <v>20</v>
      </c>
      <c r="D94" s="20" t="s">
        <v>21</v>
      </c>
      <c r="E94" s="20">
        <v>0</v>
      </c>
      <c r="F94" s="20" t="s">
        <v>1286</v>
      </c>
      <c r="G94" s="46">
        <v>56.499999999999325</v>
      </c>
      <c r="H94" s="41" t="s">
        <v>1472</v>
      </c>
      <c r="I94" s="44">
        <f>SUM(J94:AI94)</f>
        <v>49.392941176470579</v>
      </c>
      <c r="J94" s="33">
        <v>0.30941176470588233</v>
      </c>
      <c r="K94" s="33">
        <v>1.022</v>
      </c>
      <c r="L94" s="33">
        <v>0.53788235294117637</v>
      </c>
      <c r="M94" s="43">
        <v>0</v>
      </c>
      <c r="N94" s="33">
        <v>0.13400000000000001</v>
      </c>
      <c r="O94" s="33">
        <v>11.383411764705881</v>
      </c>
      <c r="P94" s="33">
        <v>0</v>
      </c>
      <c r="Q94" s="33">
        <v>0</v>
      </c>
      <c r="R94" s="33">
        <v>0.27858823529411764</v>
      </c>
      <c r="S94" s="33">
        <v>0.20882352941176466</v>
      </c>
      <c r="T94" s="33">
        <v>7.2682352941176465</v>
      </c>
      <c r="U94" s="33">
        <v>0</v>
      </c>
      <c r="V94" s="33">
        <v>0</v>
      </c>
      <c r="W94" s="33">
        <v>7.6616470588235295</v>
      </c>
      <c r="X94" s="33">
        <v>0.61517647058823532</v>
      </c>
      <c r="Y94" s="33">
        <v>16.236235294117645</v>
      </c>
      <c r="Z94" s="33">
        <v>0.89788235294117635</v>
      </c>
      <c r="AA94" s="33">
        <v>0.20294117647058824</v>
      </c>
      <c r="AB94" s="33">
        <v>1.833176470588235</v>
      </c>
      <c r="AC94" s="43">
        <v>0</v>
      </c>
      <c r="AD94" s="33">
        <v>0.21470588235294114</v>
      </c>
      <c r="AE94" s="21">
        <v>7.435294117647058E-2</v>
      </c>
      <c r="AF94" s="33">
        <v>5.6117647058823522E-2</v>
      </c>
      <c r="AG94" s="33">
        <v>6.1058823529411763E-2</v>
      </c>
      <c r="AH94" s="33">
        <v>2.3764705882352941E-2</v>
      </c>
      <c r="AI94" s="33">
        <v>0.37352941176470583</v>
      </c>
    </row>
    <row r="95" spans="1:35" x14ac:dyDescent="0.3">
      <c r="A95" s="32" t="s">
        <v>1315</v>
      </c>
      <c r="B95" s="20" t="s">
        <v>1316</v>
      </c>
      <c r="C95" s="20" t="s">
        <v>146</v>
      </c>
      <c r="D95" s="20" t="s">
        <v>141</v>
      </c>
      <c r="E95" s="20">
        <v>0</v>
      </c>
      <c r="F95" s="20" t="s">
        <v>1286</v>
      </c>
      <c r="G95" s="46">
        <v>21.999999999999797</v>
      </c>
      <c r="H95" s="41" t="s">
        <v>1472</v>
      </c>
      <c r="I95" s="44">
        <f>SUM(J95:AI95)</f>
        <v>35.501176470588227</v>
      </c>
      <c r="J95" s="33">
        <v>0.26670588235294113</v>
      </c>
      <c r="K95" s="33">
        <v>0.36823529411764705</v>
      </c>
      <c r="L95" s="33">
        <v>0.49294117647058822</v>
      </c>
      <c r="M95" s="43">
        <v>0</v>
      </c>
      <c r="N95" s="33">
        <v>0.2364705882352941</v>
      </c>
      <c r="O95" s="33">
        <v>7.9841176470588229</v>
      </c>
      <c r="P95" s="33">
        <v>0</v>
      </c>
      <c r="Q95" s="33">
        <v>0</v>
      </c>
      <c r="R95" s="33">
        <v>0.2791764705882353</v>
      </c>
      <c r="S95" s="33">
        <v>0.21082352941176466</v>
      </c>
      <c r="T95" s="33">
        <v>5.344235294117647</v>
      </c>
      <c r="U95" s="33">
        <v>0</v>
      </c>
      <c r="V95" s="33">
        <v>0</v>
      </c>
      <c r="W95" s="33">
        <v>5.5611764705882347</v>
      </c>
      <c r="X95" s="33">
        <v>0.74894117647058811</v>
      </c>
      <c r="Y95" s="33">
        <v>10.83635294117647</v>
      </c>
      <c r="Z95" s="33">
        <v>0.57505882352941173</v>
      </c>
      <c r="AA95" s="33">
        <v>0.1956470588235294</v>
      </c>
      <c r="AB95" s="33">
        <v>1.5870588235294116</v>
      </c>
      <c r="AC95" s="43">
        <v>0</v>
      </c>
      <c r="AD95" s="33">
        <v>0.23164705882352937</v>
      </c>
      <c r="AE95" s="21">
        <v>6.2823529411764709E-2</v>
      </c>
      <c r="AF95" s="33">
        <v>0.11152941176470588</v>
      </c>
      <c r="AG95" s="33">
        <v>0.11835294117647058</v>
      </c>
      <c r="AH95" s="33">
        <v>2.7058823529411764E-2</v>
      </c>
      <c r="AI95" s="33">
        <v>0.26282352941176468</v>
      </c>
    </row>
    <row r="96" spans="1:35" x14ac:dyDescent="0.3">
      <c r="A96" s="32" t="s">
        <v>1345</v>
      </c>
      <c r="B96" s="20" t="s">
        <v>1346</v>
      </c>
      <c r="C96" s="20" t="s">
        <v>261</v>
      </c>
      <c r="D96" s="20" t="s">
        <v>262</v>
      </c>
      <c r="E96" s="20">
        <v>0</v>
      </c>
      <c r="F96" s="20" t="s">
        <v>1286</v>
      </c>
      <c r="G96" s="46">
        <v>10.999999999999899</v>
      </c>
      <c r="H96" s="41" t="s">
        <v>1472</v>
      </c>
      <c r="I96" s="44">
        <f>SUM(J96:AI96)</f>
        <v>186.12835294117642</v>
      </c>
      <c r="J96" s="33">
        <v>0.39423529411764702</v>
      </c>
      <c r="K96" s="33">
        <v>0.7655294117647059</v>
      </c>
      <c r="L96" s="33">
        <v>3.3968235294117641</v>
      </c>
      <c r="M96" s="43">
        <v>0</v>
      </c>
      <c r="N96" s="33">
        <v>0.49647058823529411</v>
      </c>
      <c r="O96" s="33">
        <v>49.00564705882352</v>
      </c>
      <c r="P96" s="33">
        <v>0</v>
      </c>
      <c r="Q96" s="33">
        <v>0</v>
      </c>
      <c r="R96" s="33">
        <v>7.7055294117647062</v>
      </c>
      <c r="S96" s="33">
        <v>0.65094117647058813</v>
      </c>
      <c r="T96" s="33">
        <v>22.466470588235293</v>
      </c>
      <c r="U96" s="33">
        <v>0</v>
      </c>
      <c r="V96" s="33">
        <v>0</v>
      </c>
      <c r="W96" s="33">
        <v>39.505764705882349</v>
      </c>
      <c r="X96" s="33">
        <v>3.1525882352941172</v>
      </c>
      <c r="Y96" s="33">
        <v>47.451058823529408</v>
      </c>
      <c r="Z96" s="33">
        <v>1.7587058823529411</v>
      </c>
      <c r="AA96" s="33">
        <v>0.39494117647058824</v>
      </c>
      <c r="AB96" s="33">
        <v>6.3431764705882356</v>
      </c>
      <c r="AC96" s="43">
        <v>0</v>
      </c>
      <c r="AD96" s="33">
        <v>0.35047058823529409</v>
      </c>
      <c r="AE96" s="21">
        <v>0.11847058823529412</v>
      </c>
      <c r="AF96" s="33">
        <v>0.24058823529411763</v>
      </c>
      <c r="AG96" s="33">
        <v>0.35258823529411765</v>
      </c>
      <c r="AH96" s="33">
        <v>0.106</v>
      </c>
      <c r="AI96" s="33">
        <v>1.4723529411764706</v>
      </c>
    </row>
    <row r="97" spans="1:35" x14ac:dyDescent="0.3">
      <c r="A97" s="32" t="s">
        <v>1293</v>
      </c>
      <c r="B97" s="20" t="s">
        <v>1294</v>
      </c>
      <c r="C97" s="20" t="s">
        <v>20</v>
      </c>
      <c r="D97" s="20" t="s">
        <v>23</v>
      </c>
      <c r="E97" s="20">
        <v>1</v>
      </c>
      <c r="F97" s="20" t="s">
        <v>1286</v>
      </c>
      <c r="G97" s="46">
        <v>46.499999999999318</v>
      </c>
      <c r="H97" s="41" t="s">
        <v>1472</v>
      </c>
      <c r="I97" s="44">
        <f>SUM(J97:AI97)</f>
        <v>49.501176470588227</v>
      </c>
      <c r="J97" s="33">
        <v>1.0217647058823529</v>
      </c>
      <c r="K97" s="33">
        <v>0.52835294117647058</v>
      </c>
      <c r="L97" s="33">
        <v>0.46105882352941174</v>
      </c>
      <c r="M97" s="43">
        <v>0</v>
      </c>
      <c r="N97" s="33">
        <v>0.14894117647058822</v>
      </c>
      <c r="O97" s="33">
        <v>10.67105882352941</v>
      </c>
      <c r="P97" s="33">
        <v>0</v>
      </c>
      <c r="Q97" s="33">
        <v>0</v>
      </c>
      <c r="R97" s="33">
        <v>0.25447058823529412</v>
      </c>
      <c r="S97" s="33">
        <v>0.19929411764705882</v>
      </c>
      <c r="T97" s="33">
        <v>6.3329411764705874</v>
      </c>
      <c r="U97" s="33">
        <v>0</v>
      </c>
      <c r="V97" s="33">
        <v>0</v>
      </c>
      <c r="W97" s="33">
        <v>7.5481176470588229</v>
      </c>
      <c r="X97" s="33">
        <v>0.624235294117647</v>
      </c>
      <c r="Y97" s="33">
        <v>17.613294117647058</v>
      </c>
      <c r="Z97" s="33">
        <v>0.99388235294117644</v>
      </c>
      <c r="AA97" s="33">
        <v>0.48329411764705876</v>
      </c>
      <c r="AB97" s="33">
        <v>1.4610588235294115</v>
      </c>
      <c r="AC97" s="43">
        <v>0</v>
      </c>
      <c r="AD97" s="33">
        <v>0.432</v>
      </c>
      <c r="AE97" s="21">
        <v>0.11423529411764705</v>
      </c>
      <c r="AF97" s="33">
        <v>6.8235294117647047E-2</v>
      </c>
      <c r="AG97" s="33">
        <v>0.16105882352941175</v>
      </c>
      <c r="AH97" s="33">
        <v>3.0823529411764701E-2</v>
      </c>
      <c r="AI97" s="33">
        <v>0.3530588235294117</v>
      </c>
    </row>
    <row r="98" spans="1:35" x14ac:dyDescent="0.3">
      <c r="A98" s="32" t="s">
        <v>1295</v>
      </c>
      <c r="B98" s="20" t="s">
        <v>1296</v>
      </c>
      <c r="C98" s="20" t="s">
        <v>20</v>
      </c>
      <c r="D98" s="20" t="s">
        <v>25</v>
      </c>
      <c r="E98" s="20">
        <v>1</v>
      </c>
      <c r="F98" s="20" t="s">
        <v>1286</v>
      </c>
      <c r="G98" s="46">
        <v>60.00000000000005</v>
      </c>
      <c r="H98" s="41" t="s">
        <v>1472</v>
      </c>
      <c r="I98" s="44">
        <f>SUM(J98:AI98)</f>
        <v>43.876941176470581</v>
      </c>
      <c r="J98" s="33">
        <v>0.23423529411764704</v>
      </c>
      <c r="K98" s="33">
        <v>0.28823529411764703</v>
      </c>
      <c r="L98" s="33">
        <v>0.31364705882352939</v>
      </c>
      <c r="M98" s="43">
        <v>0</v>
      </c>
      <c r="N98" s="33">
        <v>0.12764705882352939</v>
      </c>
      <c r="O98" s="33">
        <v>9.5444705882352938</v>
      </c>
      <c r="P98" s="33">
        <v>0</v>
      </c>
      <c r="Q98" s="33">
        <v>0</v>
      </c>
      <c r="R98" s="33">
        <v>0.36599999999999994</v>
      </c>
      <c r="S98" s="33">
        <v>0.22117647058823528</v>
      </c>
      <c r="T98" s="33">
        <v>6.5364705882352938</v>
      </c>
      <c r="U98" s="33">
        <v>0</v>
      </c>
      <c r="V98" s="33">
        <v>0</v>
      </c>
      <c r="W98" s="33">
        <v>6.3450588235294108</v>
      </c>
      <c r="X98" s="33">
        <v>0.64799999999999991</v>
      </c>
      <c r="Y98" s="33">
        <v>14.584117647058822</v>
      </c>
      <c r="Z98" s="33">
        <v>0.754235294117647</v>
      </c>
      <c r="AA98" s="33">
        <v>0.46458823529411758</v>
      </c>
      <c r="AB98" s="33">
        <v>2.0652941176470589</v>
      </c>
      <c r="AC98" s="43">
        <v>0</v>
      </c>
      <c r="AD98" s="33">
        <v>0.43964705882352939</v>
      </c>
      <c r="AE98" s="21">
        <v>0.14388235294117646</v>
      </c>
      <c r="AF98" s="33">
        <v>9.8941176470588241E-2</v>
      </c>
      <c r="AG98" s="33">
        <v>0.17058823529411765</v>
      </c>
      <c r="AH98" s="33">
        <v>3.7882352941176471E-2</v>
      </c>
      <c r="AI98" s="33">
        <v>0.4928235294117646</v>
      </c>
    </row>
    <row r="99" spans="1:35" x14ac:dyDescent="0.3">
      <c r="A99" s="32" t="s">
        <v>1287</v>
      </c>
      <c r="B99" s="20" t="s">
        <v>1288</v>
      </c>
      <c r="C99" s="20" t="s">
        <v>20</v>
      </c>
      <c r="D99" s="20" t="s">
        <v>27</v>
      </c>
      <c r="E99" s="20">
        <v>1</v>
      </c>
      <c r="F99" s="20" t="s">
        <v>1286</v>
      </c>
      <c r="G99" s="46">
        <v>49.500000000000099</v>
      </c>
      <c r="H99" s="41" t="s">
        <v>1472</v>
      </c>
      <c r="I99" s="44">
        <f>SUM(J99:AI99)</f>
        <v>71.879764705882366</v>
      </c>
      <c r="J99" s="33">
        <v>0.25494117647058817</v>
      </c>
      <c r="K99" s="33">
        <v>0.64294117647058813</v>
      </c>
      <c r="L99" s="33">
        <v>0.55317647058823527</v>
      </c>
      <c r="M99" s="43">
        <v>0</v>
      </c>
      <c r="N99" s="33">
        <v>0.19952941176470587</v>
      </c>
      <c r="O99" s="33">
        <v>13.103176470588233</v>
      </c>
      <c r="P99" s="33">
        <v>3.9882352941176466E-2</v>
      </c>
      <c r="Q99" s="33">
        <v>0</v>
      </c>
      <c r="R99" s="33">
        <v>0.92870588235294105</v>
      </c>
      <c r="S99" s="33">
        <v>0.3470588235294117</v>
      </c>
      <c r="T99" s="33">
        <v>13.769647058823528</v>
      </c>
      <c r="U99" s="33">
        <v>0</v>
      </c>
      <c r="V99" s="33">
        <v>0</v>
      </c>
      <c r="W99" s="33">
        <v>11.884588235294116</v>
      </c>
      <c r="X99" s="33">
        <v>1.4278823529411764</v>
      </c>
      <c r="Y99" s="33">
        <v>19.408235294117645</v>
      </c>
      <c r="Z99" s="33">
        <v>0.62682352941176467</v>
      </c>
      <c r="AA99" s="33">
        <v>0.32717647058823529</v>
      </c>
      <c r="AB99" s="33">
        <v>6.2417647058823524</v>
      </c>
      <c r="AC99" s="43">
        <v>0</v>
      </c>
      <c r="AD99" s="33">
        <v>0.30494117647058822</v>
      </c>
      <c r="AE99" s="21">
        <v>7.4470588235294108E-2</v>
      </c>
      <c r="AF99" s="33">
        <v>0.30705882352941177</v>
      </c>
      <c r="AG99" s="33">
        <v>0.14223529411764704</v>
      </c>
      <c r="AH99" s="33">
        <v>8.2470588235294101E-2</v>
      </c>
      <c r="AI99" s="33">
        <v>1.2130588235294115</v>
      </c>
    </row>
    <row r="100" spans="1:35" x14ac:dyDescent="0.3">
      <c r="A100" s="32" t="s">
        <v>1289</v>
      </c>
      <c r="B100" s="20" t="s">
        <v>1290</v>
      </c>
      <c r="C100" s="20" t="s">
        <v>20</v>
      </c>
      <c r="D100" s="20" t="s">
        <v>29</v>
      </c>
      <c r="E100" s="20">
        <v>1</v>
      </c>
      <c r="F100" s="20" t="s">
        <v>1286</v>
      </c>
      <c r="G100" s="46">
        <v>35.000000000000583</v>
      </c>
      <c r="H100" s="41" t="s">
        <v>1472</v>
      </c>
      <c r="I100" s="44">
        <f>SUM(J100:AI100)</f>
        <v>375.82329411764709</v>
      </c>
      <c r="J100" s="33">
        <v>0.22905882352941176</v>
      </c>
      <c r="K100" s="33">
        <v>0.9594117647058823</v>
      </c>
      <c r="L100" s="33">
        <v>0.42352941176470582</v>
      </c>
      <c r="M100" s="43">
        <v>0</v>
      </c>
      <c r="N100" s="33">
        <v>0.13623529411764704</v>
      </c>
      <c r="O100" s="33">
        <v>54.358823529411758</v>
      </c>
      <c r="P100" s="33">
        <v>0.68929411764705883</v>
      </c>
      <c r="Q100" s="33">
        <v>8.8315294117647056</v>
      </c>
      <c r="R100" s="33">
        <v>2.108705882352941</v>
      </c>
      <c r="S100" s="33">
        <v>0.36729411764705883</v>
      </c>
      <c r="T100" s="33">
        <v>17.947411764705883</v>
      </c>
      <c r="U100" s="33">
        <v>0</v>
      </c>
      <c r="V100" s="33">
        <v>0</v>
      </c>
      <c r="W100" s="33">
        <v>230.00894117647059</v>
      </c>
      <c r="X100" s="33">
        <v>8.6294117647058819</v>
      </c>
      <c r="Y100" s="33">
        <v>42.079882352941169</v>
      </c>
      <c r="Z100" s="33">
        <v>3.0898823529411761</v>
      </c>
      <c r="AA100" s="33">
        <v>1.8834117647058823</v>
      </c>
      <c r="AB100" s="33">
        <v>2.2034117647058822</v>
      </c>
      <c r="AC100" s="43">
        <v>0</v>
      </c>
      <c r="AD100" s="33">
        <v>0.8647058823529411</v>
      </c>
      <c r="AE100" s="21">
        <v>0.1492941176470588</v>
      </c>
      <c r="AF100" s="33">
        <v>9.2470588235294124E-2</v>
      </c>
      <c r="AG100" s="33">
        <v>0.26388235294117646</v>
      </c>
      <c r="AH100" s="33">
        <v>2.4E-2</v>
      </c>
      <c r="AI100" s="33">
        <v>0.4827058823529411</v>
      </c>
    </row>
    <row r="101" spans="1:35" x14ac:dyDescent="0.3">
      <c r="A101" s="32" t="s">
        <v>1291</v>
      </c>
      <c r="B101" s="20" t="s">
        <v>1292</v>
      </c>
      <c r="C101" s="20" t="s">
        <v>20</v>
      </c>
      <c r="D101" s="20" t="s">
        <v>31</v>
      </c>
      <c r="E101" s="20">
        <v>1</v>
      </c>
      <c r="F101" s="20" t="s">
        <v>1286</v>
      </c>
      <c r="G101" s="46">
        <v>45.999999999999375</v>
      </c>
      <c r="H101" s="41" t="s">
        <v>1472</v>
      </c>
      <c r="I101" s="44">
        <f>SUM(J101:AI101)</f>
        <v>96.324823529411788</v>
      </c>
      <c r="J101" s="33">
        <v>0.3372941176470588</v>
      </c>
      <c r="K101" s="33">
        <v>0.70847058823529407</v>
      </c>
      <c r="L101" s="33">
        <v>0.54741176470588238</v>
      </c>
      <c r="M101" s="43">
        <v>0</v>
      </c>
      <c r="N101" s="33">
        <v>0.20870588235294116</v>
      </c>
      <c r="O101" s="33">
        <v>20.628823529411761</v>
      </c>
      <c r="P101" s="33">
        <v>0.75941176470588223</v>
      </c>
      <c r="Q101" s="33">
        <v>1.1424705882352941</v>
      </c>
      <c r="R101" s="33">
        <v>0.55941176470588239</v>
      </c>
      <c r="S101" s="33">
        <v>0.25529411764705878</v>
      </c>
      <c r="T101" s="33">
        <v>10.247999999999999</v>
      </c>
      <c r="U101" s="33">
        <v>0</v>
      </c>
      <c r="V101" s="33">
        <v>0</v>
      </c>
      <c r="W101" s="33">
        <v>33.54</v>
      </c>
      <c r="X101" s="33">
        <v>1.6163529411764705</v>
      </c>
      <c r="Y101" s="33">
        <v>20.071411764705882</v>
      </c>
      <c r="Z101" s="33">
        <v>1.1083529411764705</v>
      </c>
      <c r="AA101" s="33">
        <v>0.81188235294117639</v>
      </c>
      <c r="AB101" s="33">
        <v>2.3662352941176468</v>
      </c>
      <c r="AC101" s="43">
        <v>0</v>
      </c>
      <c r="AD101" s="33">
        <v>0.51988235294117646</v>
      </c>
      <c r="AE101" s="21">
        <v>0.12564705882352942</v>
      </c>
      <c r="AF101" s="33">
        <v>9.9176470588235283E-2</v>
      </c>
      <c r="AG101" s="33">
        <v>0.12188235294117646</v>
      </c>
      <c r="AH101" s="33">
        <v>3.8705882352941173E-2</v>
      </c>
      <c r="AI101" s="33">
        <v>0.51</v>
      </c>
    </row>
    <row r="102" spans="1:35" x14ac:dyDescent="0.3">
      <c r="A102" s="32" t="s">
        <v>1317</v>
      </c>
      <c r="B102" s="20" t="s">
        <v>1318</v>
      </c>
      <c r="C102" s="20" t="s">
        <v>146</v>
      </c>
      <c r="D102" s="20" t="s">
        <v>146</v>
      </c>
      <c r="E102" s="20">
        <v>1</v>
      </c>
      <c r="F102" s="20" t="s">
        <v>1286</v>
      </c>
      <c r="G102" s="46">
        <v>29.500000000000082</v>
      </c>
      <c r="H102" s="41" t="s">
        <v>1472</v>
      </c>
      <c r="I102" s="44">
        <f>SUM(J102:AI102)</f>
        <v>209.36047058823527</v>
      </c>
      <c r="J102" s="33">
        <v>0.46035294117647052</v>
      </c>
      <c r="K102" s="33">
        <v>0.61576470588235288</v>
      </c>
      <c r="L102" s="33">
        <v>1.899764705882353</v>
      </c>
      <c r="M102" s="43">
        <v>0</v>
      </c>
      <c r="N102" s="33">
        <v>0.26341176470588235</v>
      </c>
      <c r="O102" s="33">
        <v>44.788235294117641</v>
      </c>
      <c r="P102" s="33">
        <v>0.3024705882352941</v>
      </c>
      <c r="Q102" s="33">
        <v>2.6674117647058821</v>
      </c>
      <c r="R102" s="33">
        <v>2.8124705882352936</v>
      </c>
      <c r="S102" s="33">
        <v>0.43776470588235289</v>
      </c>
      <c r="T102" s="33">
        <v>13.805294117647058</v>
      </c>
      <c r="U102" s="33">
        <v>0</v>
      </c>
      <c r="V102" s="33">
        <v>0</v>
      </c>
      <c r="W102" s="33">
        <v>83.396470588235289</v>
      </c>
      <c r="X102" s="33">
        <v>3.7375294117647053</v>
      </c>
      <c r="Y102" s="33">
        <v>43.882235294117642</v>
      </c>
      <c r="Z102" s="33">
        <v>2.6670588235294117</v>
      </c>
      <c r="AA102" s="33">
        <v>1.833176470588235</v>
      </c>
      <c r="AB102" s="33">
        <v>2.13</v>
      </c>
      <c r="AC102" s="43">
        <v>0</v>
      </c>
      <c r="AD102" s="33">
        <v>1.5840000000000001</v>
      </c>
      <c r="AE102" s="21">
        <v>0.2869411764705882</v>
      </c>
      <c r="AF102" s="33">
        <v>0.28576470588235292</v>
      </c>
      <c r="AG102" s="33">
        <v>0.8952941176470588</v>
      </c>
      <c r="AH102" s="33">
        <v>9.2588235294117638E-2</v>
      </c>
      <c r="AI102" s="33">
        <v>0.51647058823529413</v>
      </c>
    </row>
    <row r="103" spans="1:35" x14ac:dyDescent="0.3">
      <c r="A103" s="32" t="s">
        <v>1319</v>
      </c>
      <c r="B103" s="20" t="s">
        <v>1320</v>
      </c>
      <c r="C103" s="20" t="s">
        <v>146</v>
      </c>
      <c r="D103" s="20" t="s">
        <v>149</v>
      </c>
      <c r="E103" s="20">
        <v>1</v>
      </c>
      <c r="F103" s="20" t="s">
        <v>1286</v>
      </c>
      <c r="G103" s="46">
        <v>7.0000000000003393</v>
      </c>
      <c r="H103" s="41" t="s">
        <v>1472</v>
      </c>
      <c r="I103" s="44">
        <f>SUM(J103:AI103)</f>
        <v>526.02</v>
      </c>
      <c r="J103" s="33">
        <v>0.47894117647058826</v>
      </c>
      <c r="K103" s="33">
        <v>0.36129411764705882</v>
      </c>
      <c r="L103" s="33">
        <v>0.48199999999999993</v>
      </c>
      <c r="M103" s="43">
        <v>0</v>
      </c>
      <c r="N103" s="33">
        <v>0.35329411764705881</v>
      </c>
      <c r="O103" s="33">
        <v>89.185882352941164</v>
      </c>
      <c r="P103" s="33">
        <v>7.545647058823528</v>
      </c>
      <c r="Q103" s="33">
        <v>12.566117647058823</v>
      </c>
      <c r="R103" s="33">
        <v>3.0928235294117647</v>
      </c>
      <c r="S103" s="33">
        <v>0.79529411764705871</v>
      </c>
      <c r="T103" s="33">
        <v>33.130823529411764</v>
      </c>
      <c r="U103" s="33">
        <v>0</v>
      </c>
      <c r="V103" s="33">
        <v>0</v>
      </c>
      <c r="W103" s="33">
        <v>304.69223529411761</v>
      </c>
      <c r="X103" s="33">
        <v>11.555176470588234</v>
      </c>
      <c r="Y103" s="33">
        <v>48.046117647058821</v>
      </c>
      <c r="Z103" s="33">
        <v>2.8730588235294117</v>
      </c>
      <c r="AA103" s="33">
        <v>2.5872941176470587</v>
      </c>
      <c r="AB103" s="33">
        <v>5.8719999999999999</v>
      </c>
      <c r="AC103" s="43">
        <v>0</v>
      </c>
      <c r="AD103" s="33">
        <v>0.87105882352941166</v>
      </c>
      <c r="AE103" s="21">
        <v>0.20858823529411763</v>
      </c>
      <c r="AF103" s="33">
        <v>0.19411764705882353</v>
      </c>
      <c r="AG103" s="33">
        <v>6.7058823529411768E-2</v>
      </c>
      <c r="AH103" s="33">
        <v>3.7999999999999992E-2</v>
      </c>
      <c r="AI103" s="33">
        <v>1.0231764705882354</v>
      </c>
    </row>
    <row r="104" spans="1:35" x14ac:dyDescent="0.3">
      <c r="A104" s="32" t="s">
        <v>1323</v>
      </c>
      <c r="B104" s="20" t="s">
        <v>1324</v>
      </c>
      <c r="C104" s="20" t="s">
        <v>146</v>
      </c>
      <c r="D104" s="20" t="s">
        <v>145</v>
      </c>
      <c r="E104" s="20">
        <v>1</v>
      </c>
      <c r="F104" s="20" t="s">
        <v>1286</v>
      </c>
      <c r="G104" s="46">
        <v>32.999999999999694</v>
      </c>
      <c r="H104" s="41" t="s">
        <v>1472</v>
      </c>
      <c r="I104" s="44">
        <f>SUM(J104:AI104)</f>
        <v>379.92799999999994</v>
      </c>
      <c r="J104" s="33">
        <v>0.21058823529411763</v>
      </c>
      <c r="K104" s="33">
        <v>0.31294117647058817</v>
      </c>
      <c r="L104" s="33">
        <v>0.73188235294117643</v>
      </c>
      <c r="M104" s="43">
        <v>0</v>
      </c>
      <c r="N104" s="33">
        <v>0.62976470588235289</v>
      </c>
      <c r="O104" s="33">
        <v>54.576117647058815</v>
      </c>
      <c r="P104" s="33">
        <v>1.5641176470588236</v>
      </c>
      <c r="Q104" s="33">
        <v>7.8932941176470583</v>
      </c>
      <c r="R104" s="33">
        <v>2.8621176470588234</v>
      </c>
      <c r="S104" s="33">
        <v>1.0334117647058823</v>
      </c>
      <c r="T104" s="33">
        <v>32.675999999999995</v>
      </c>
      <c r="U104" s="33">
        <v>0</v>
      </c>
      <c r="V104" s="33">
        <v>0</v>
      </c>
      <c r="W104" s="33">
        <v>197.33164705882351</v>
      </c>
      <c r="X104" s="33">
        <v>9.5094117647058827</v>
      </c>
      <c r="Y104" s="33">
        <v>51.735294117647051</v>
      </c>
      <c r="Z104" s="33">
        <v>2.2983529411764705</v>
      </c>
      <c r="AA104" s="33">
        <v>1.4443529411764706</v>
      </c>
      <c r="AB104" s="33">
        <v>11.659647058823529</v>
      </c>
      <c r="AC104" s="43">
        <v>0</v>
      </c>
      <c r="AD104" s="33">
        <v>0.59764705882352931</v>
      </c>
      <c r="AE104" s="21">
        <v>0.13647058823529409</v>
      </c>
      <c r="AF104" s="33">
        <v>0.41388235294117648</v>
      </c>
      <c r="AG104" s="33">
        <v>0.11682352941176469</v>
      </c>
      <c r="AH104" s="33">
        <v>0.13529411764705881</v>
      </c>
      <c r="AI104" s="33">
        <v>2.0589411764705883</v>
      </c>
    </row>
    <row r="105" spans="1:35" x14ac:dyDescent="0.3">
      <c r="A105" s="32" t="s">
        <v>1321</v>
      </c>
      <c r="B105" s="20" t="s">
        <v>1322</v>
      </c>
      <c r="C105" s="20" t="s">
        <v>146</v>
      </c>
      <c r="D105" s="20" t="s">
        <v>143</v>
      </c>
      <c r="E105" s="20">
        <v>1</v>
      </c>
      <c r="F105" s="20" t="s">
        <v>1286</v>
      </c>
      <c r="G105" s="46">
        <v>10.499999999999954</v>
      </c>
      <c r="H105" s="41" t="s">
        <v>1472</v>
      </c>
      <c r="I105" s="44">
        <f>SUM(J105:AI105)</f>
        <v>408.24364705882346</v>
      </c>
      <c r="J105" s="33">
        <v>0.21376470588235291</v>
      </c>
      <c r="K105" s="33">
        <v>0.30388235294117644</v>
      </c>
      <c r="L105" s="33">
        <v>1.0690588235294118</v>
      </c>
      <c r="M105" s="43">
        <v>0</v>
      </c>
      <c r="N105" s="33">
        <v>0.32494117647058818</v>
      </c>
      <c r="O105" s="33">
        <v>70.964235294117643</v>
      </c>
      <c r="P105" s="33">
        <v>3.6803529411764702</v>
      </c>
      <c r="Q105" s="33">
        <v>11.18835294117647</v>
      </c>
      <c r="R105" s="33">
        <v>4.2656470588235296</v>
      </c>
      <c r="S105" s="33">
        <v>0.77658823529411758</v>
      </c>
      <c r="T105" s="33">
        <v>31.564117647058822</v>
      </c>
      <c r="U105" s="33">
        <v>0</v>
      </c>
      <c r="V105" s="33">
        <v>0</v>
      </c>
      <c r="W105" s="33">
        <v>206.07094117647057</v>
      </c>
      <c r="X105" s="33">
        <v>9.6569411764705873</v>
      </c>
      <c r="Y105" s="33">
        <v>53.656117647058814</v>
      </c>
      <c r="Z105" s="33">
        <v>3.1695294117647053</v>
      </c>
      <c r="AA105" s="33">
        <v>2.5430588235294116</v>
      </c>
      <c r="AB105" s="33">
        <v>5.4752941176470582</v>
      </c>
      <c r="AC105" s="43">
        <v>0</v>
      </c>
      <c r="AD105" s="33">
        <v>1.1878823529411764</v>
      </c>
      <c r="AE105" s="21">
        <v>0.2678823529411764</v>
      </c>
      <c r="AF105" s="33">
        <v>0.2452941176470588</v>
      </c>
      <c r="AG105" s="33">
        <v>0.14705882352941177</v>
      </c>
      <c r="AH105" s="33">
        <v>0.13976470588235293</v>
      </c>
      <c r="AI105" s="33">
        <v>1.3329411764705881</v>
      </c>
    </row>
    <row r="106" spans="1:35" x14ac:dyDescent="0.3">
      <c r="A106" s="32" t="s">
        <v>1353</v>
      </c>
      <c r="B106" s="20" t="s">
        <v>1354</v>
      </c>
      <c r="C106" s="20" t="s">
        <v>261</v>
      </c>
      <c r="D106" s="20" t="s">
        <v>264</v>
      </c>
      <c r="E106" s="20">
        <v>1</v>
      </c>
      <c r="F106" s="20" t="s">
        <v>1286</v>
      </c>
      <c r="G106" s="46">
        <v>9.000000000000119</v>
      </c>
      <c r="H106" s="41" t="s">
        <v>1472</v>
      </c>
      <c r="I106" s="44">
        <f>SUM(J106:AI106)</f>
        <v>261.52894117647065</v>
      </c>
      <c r="J106" s="33">
        <v>0.37152941176470583</v>
      </c>
      <c r="K106" s="33">
        <v>0.71788235294117642</v>
      </c>
      <c r="L106" s="33">
        <v>3.3656470588235292</v>
      </c>
      <c r="M106" s="43">
        <v>0</v>
      </c>
      <c r="N106" s="33">
        <v>0.52141176470588224</v>
      </c>
      <c r="O106" s="33">
        <v>65.280235294117645</v>
      </c>
      <c r="P106" s="33">
        <v>2.1882352941176471E-2</v>
      </c>
      <c r="Q106" s="33">
        <v>0</v>
      </c>
      <c r="R106" s="33">
        <v>10.416588235294117</v>
      </c>
      <c r="S106" s="33">
        <v>0.64364705882352935</v>
      </c>
      <c r="T106" s="33">
        <v>19.743647058823527</v>
      </c>
      <c r="U106" s="33">
        <v>0</v>
      </c>
      <c r="V106" s="33">
        <v>0</v>
      </c>
      <c r="W106" s="33">
        <v>57.557176470588232</v>
      </c>
      <c r="X106" s="33">
        <v>4.4498823529411764</v>
      </c>
      <c r="Y106" s="33">
        <v>87.35388235294117</v>
      </c>
      <c r="Z106" s="33">
        <v>5.123176470588235</v>
      </c>
      <c r="AA106" s="33">
        <v>0.45341176470588229</v>
      </c>
      <c r="AB106" s="33">
        <v>3.9896470588235289</v>
      </c>
      <c r="AC106" s="43">
        <v>0</v>
      </c>
      <c r="AD106" s="33">
        <v>0.34282352941176469</v>
      </c>
      <c r="AE106" s="21">
        <v>0.11235294117647057</v>
      </c>
      <c r="AF106" s="33">
        <v>0.20035294117647057</v>
      </c>
      <c r="AG106" s="33">
        <v>7.1764705882352939E-2</v>
      </c>
      <c r="AH106" s="33">
        <v>0.11988235294117645</v>
      </c>
      <c r="AI106" s="33">
        <v>0.67211764705882349</v>
      </c>
    </row>
    <row r="107" spans="1:35" x14ac:dyDescent="0.3">
      <c r="A107" s="32" t="s">
        <v>1355</v>
      </c>
      <c r="B107" s="20" t="s">
        <v>1356</v>
      </c>
      <c r="C107" s="20" t="s">
        <v>261</v>
      </c>
      <c r="D107" s="20" t="s">
        <v>266</v>
      </c>
      <c r="E107" s="20">
        <v>1</v>
      </c>
      <c r="F107" s="20" t="s">
        <v>1286</v>
      </c>
      <c r="G107" s="46">
        <v>12.999999999999678</v>
      </c>
      <c r="H107" s="41" t="s">
        <v>1472</v>
      </c>
      <c r="I107" s="44">
        <f>SUM(J107:AI107)</f>
        <v>933.72894117647036</v>
      </c>
      <c r="J107" s="33">
        <v>0.30599999999999994</v>
      </c>
      <c r="K107" s="33">
        <v>0.53811764705882348</v>
      </c>
      <c r="L107" s="33">
        <v>1.5683529411764705</v>
      </c>
      <c r="M107" s="43">
        <v>0</v>
      </c>
      <c r="N107" s="33">
        <v>0.66658823529411759</v>
      </c>
      <c r="O107" s="33">
        <v>153.79423529411764</v>
      </c>
      <c r="P107" s="33">
        <v>18.517176470588232</v>
      </c>
      <c r="Q107" s="33">
        <v>31.521882352941173</v>
      </c>
      <c r="R107" s="33">
        <v>8.2558823529411764</v>
      </c>
      <c r="S107" s="33">
        <v>1.0612941176470587</v>
      </c>
      <c r="T107" s="33">
        <v>47.10388235294117</v>
      </c>
      <c r="U107" s="33">
        <v>0</v>
      </c>
      <c r="V107" s="33">
        <v>0</v>
      </c>
      <c r="W107" s="33">
        <v>544.8119999999999</v>
      </c>
      <c r="X107" s="33">
        <v>19.497294117647058</v>
      </c>
      <c r="Y107" s="33">
        <v>81.870705882352937</v>
      </c>
      <c r="Z107" s="33">
        <v>5.5002352941176467</v>
      </c>
      <c r="AA107" s="33">
        <v>3.9030588235294115</v>
      </c>
      <c r="AB107" s="33">
        <v>10.97635294117647</v>
      </c>
      <c r="AC107" s="43">
        <v>0</v>
      </c>
      <c r="AD107" s="33">
        <v>1.1819999999999999</v>
      </c>
      <c r="AE107" s="21">
        <v>0.19294117647058823</v>
      </c>
      <c r="AF107" s="33">
        <v>0.37235294117647055</v>
      </c>
      <c r="AG107" s="33">
        <v>0.14223529411764704</v>
      </c>
      <c r="AH107" s="33">
        <v>8.9647058823529399E-2</v>
      </c>
      <c r="AI107" s="33">
        <v>1.856705882352941</v>
      </c>
    </row>
    <row r="108" spans="1:35" x14ac:dyDescent="0.3">
      <c r="A108" s="32" t="s">
        <v>1347</v>
      </c>
      <c r="B108" s="20" t="s">
        <v>1348</v>
      </c>
      <c r="C108" s="20" t="s">
        <v>261</v>
      </c>
      <c r="D108" s="20" t="s">
        <v>268</v>
      </c>
      <c r="E108" s="20">
        <v>1</v>
      </c>
      <c r="F108" s="20" t="s">
        <v>1286</v>
      </c>
      <c r="G108" s="46">
        <v>17.000000000000348</v>
      </c>
      <c r="H108" s="41" t="s">
        <v>1472</v>
      </c>
      <c r="I108" s="44">
        <f>SUM(J108:AI108)</f>
        <v>410.14941176470592</v>
      </c>
      <c r="J108" s="33">
        <v>0.21082352941176466</v>
      </c>
      <c r="K108" s="33">
        <v>0.58423529411764707</v>
      </c>
      <c r="L108" s="33">
        <v>0.9523529411764704</v>
      </c>
      <c r="M108" s="43">
        <v>0</v>
      </c>
      <c r="N108" s="33">
        <v>0.2112941176470588</v>
      </c>
      <c r="O108" s="33">
        <v>80.330470588235286</v>
      </c>
      <c r="P108" s="33">
        <v>19.541647058823528</v>
      </c>
      <c r="Q108" s="33">
        <v>15.193176470588234</v>
      </c>
      <c r="R108" s="33">
        <v>3.7115294117647055</v>
      </c>
      <c r="S108" s="33">
        <v>0.49576470588235289</v>
      </c>
      <c r="T108" s="33">
        <v>23.436352941176469</v>
      </c>
      <c r="U108" s="33">
        <v>0</v>
      </c>
      <c r="V108" s="33">
        <v>0</v>
      </c>
      <c r="W108" s="33">
        <v>211.47164705882352</v>
      </c>
      <c r="X108" s="33">
        <v>8.3045882352941174</v>
      </c>
      <c r="Y108" s="33">
        <v>36.808705882352939</v>
      </c>
      <c r="Z108" s="33">
        <v>2.3459999999999996</v>
      </c>
      <c r="AA108" s="33">
        <v>1.8505882352941174</v>
      </c>
      <c r="AB108" s="33">
        <v>3.0512941176470583</v>
      </c>
      <c r="AC108" s="43">
        <v>0</v>
      </c>
      <c r="AD108" s="33">
        <v>0.67364705882352938</v>
      </c>
      <c r="AE108" s="21">
        <v>0.13729411764705882</v>
      </c>
      <c r="AF108" s="33">
        <v>8.7999999999999995E-2</v>
      </c>
      <c r="AG108" s="33">
        <v>0.10411764705882352</v>
      </c>
      <c r="AH108" s="33">
        <v>3.5294117647058823E-2</v>
      </c>
      <c r="AI108" s="33">
        <v>0.61058823529411765</v>
      </c>
    </row>
    <row r="109" spans="1:35" x14ac:dyDescent="0.3">
      <c r="A109" s="32" t="s">
        <v>1349</v>
      </c>
      <c r="B109" s="20" t="s">
        <v>1350</v>
      </c>
      <c r="C109" s="20" t="s">
        <v>261</v>
      </c>
      <c r="D109" s="20" t="s">
        <v>270</v>
      </c>
      <c r="E109" s="20">
        <v>1</v>
      </c>
      <c r="F109" s="20" t="s">
        <v>1286</v>
      </c>
      <c r="G109" s="46">
        <v>26</v>
      </c>
      <c r="H109" s="41" t="s">
        <v>1472</v>
      </c>
      <c r="I109" s="44">
        <f>SUM(J109:AI109)</f>
        <v>119.44505882352941</v>
      </c>
      <c r="J109" s="33">
        <v>0.2152941176470588</v>
      </c>
      <c r="K109" s="33">
        <v>0.41035294117647059</v>
      </c>
      <c r="L109" s="33">
        <v>0.41341176470588231</v>
      </c>
      <c r="M109" s="43">
        <v>0</v>
      </c>
      <c r="N109" s="33">
        <v>0.14399999999999999</v>
      </c>
      <c r="O109" s="33">
        <v>30.397529411764705</v>
      </c>
      <c r="P109" s="33">
        <v>2.429176470588235</v>
      </c>
      <c r="Q109" s="33">
        <v>2.3454117647058821</v>
      </c>
      <c r="R109" s="33">
        <v>0.4089411764705882</v>
      </c>
      <c r="S109" s="33">
        <v>0.32199999999999995</v>
      </c>
      <c r="T109" s="33">
        <v>14.57870588235294</v>
      </c>
      <c r="U109" s="33">
        <v>0</v>
      </c>
      <c r="V109" s="33">
        <v>0</v>
      </c>
      <c r="W109" s="33">
        <v>27.851882352941175</v>
      </c>
      <c r="X109" s="33">
        <v>1.6731764705882353</v>
      </c>
      <c r="Y109" s="33">
        <v>31.013882352941174</v>
      </c>
      <c r="Z109" s="33">
        <v>1.9487058823529411</v>
      </c>
      <c r="AA109" s="33">
        <v>1.4869411764705882</v>
      </c>
      <c r="AB109" s="33">
        <v>1.9030588235294115</v>
      </c>
      <c r="AC109" s="43">
        <v>0</v>
      </c>
      <c r="AD109" s="33">
        <v>0.88917647058823512</v>
      </c>
      <c r="AE109" s="21">
        <v>0.22847058823529409</v>
      </c>
      <c r="AF109" s="33">
        <v>0.12552941176470589</v>
      </c>
      <c r="AG109" s="33">
        <v>8.7999999999999995E-2</v>
      </c>
      <c r="AH109" s="33">
        <v>4.4588235294117644E-2</v>
      </c>
      <c r="AI109" s="33">
        <v>0.52682352941176469</v>
      </c>
    </row>
    <row r="110" spans="1:35" x14ac:dyDescent="0.3">
      <c r="A110" s="32" t="s">
        <v>1351</v>
      </c>
      <c r="B110" s="20" t="s">
        <v>1352</v>
      </c>
      <c r="C110" s="20" t="s">
        <v>261</v>
      </c>
      <c r="D110" s="20" t="s">
        <v>272</v>
      </c>
      <c r="E110" s="20">
        <v>1</v>
      </c>
      <c r="F110" s="20" t="s">
        <v>1286</v>
      </c>
      <c r="G110" s="46">
        <v>5.5000000000005045</v>
      </c>
      <c r="H110" s="41" t="s">
        <v>1472</v>
      </c>
      <c r="I110" s="44">
        <f>SUM(J110:AI110)</f>
        <v>1370.043882352941</v>
      </c>
      <c r="J110" s="33">
        <v>0.18152941176470586</v>
      </c>
      <c r="K110" s="33">
        <v>0.4591764705882353</v>
      </c>
      <c r="L110" s="33">
        <v>1.5515294117647058</v>
      </c>
      <c r="M110" s="43">
        <v>0</v>
      </c>
      <c r="N110" s="33">
        <v>0.82047058823529406</v>
      </c>
      <c r="O110" s="33">
        <v>226.6515294117647</v>
      </c>
      <c r="P110" s="33">
        <v>98.651882352941172</v>
      </c>
      <c r="Q110" s="33">
        <v>87.20882352941176</v>
      </c>
      <c r="R110" s="33">
        <v>10.244705882352941</v>
      </c>
      <c r="S110" s="33">
        <v>1.2427058823529411</v>
      </c>
      <c r="T110" s="33">
        <v>53.025294117647057</v>
      </c>
      <c r="U110" s="33">
        <v>0</v>
      </c>
      <c r="V110" s="33">
        <v>0</v>
      </c>
      <c r="W110" s="33">
        <v>774.39717647058808</v>
      </c>
      <c r="X110" s="33">
        <v>23.033058823529412</v>
      </c>
      <c r="Y110" s="33">
        <v>75.152000000000001</v>
      </c>
      <c r="Z110" s="33">
        <v>6.4528235294117646</v>
      </c>
      <c r="AA110" s="33">
        <v>6.5142352941176469</v>
      </c>
      <c r="AB110" s="33">
        <v>1.9271764705882353</v>
      </c>
      <c r="AC110" s="43">
        <v>0</v>
      </c>
      <c r="AD110" s="33">
        <v>1.6744705882352942</v>
      </c>
      <c r="AE110" s="21">
        <v>0.2577647058823529</v>
      </c>
      <c r="AF110" s="33">
        <v>7.4235294117647052E-2</v>
      </c>
      <c r="AG110" s="33">
        <v>7.5999999999999984E-2</v>
      </c>
      <c r="AH110" s="33">
        <v>1.3058823529411765E-2</v>
      </c>
      <c r="AI110" s="33">
        <v>0.434235294117647</v>
      </c>
    </row>
    <row r="111" spans="1:35" x14ac:dyDescent="0.3">
      <c r="A111" s="32" t="s">
        <v>1303</v>
      </c>
      <c r="B111" s="20" t="s">
        <v>1304</v>
      </c>
      <c r="C111" s="20" t="s">
        <v>20</v>
      </c>
      <c r="D111" s="20" t="s">
        <v>33</v>
      </c>
      <c r="E111" s="20">
        <v>2</v>
      </c>
      <c r="F111" s="20" t="s">
        <v>1286</v>
      </c>
      <c r="G111" s="46">
        <v>48.500000000000206</v>
      </c>
      <c r="H111" s="41" t="s">
        <v>1472</v>
      </c>
      <c r="I111" s="44">
        <f>SUM(J111:AI111)</f>
        <v>36.344941176470584</v>
      </c>
      <c r="J111" s="33">
        <v>0.22882352941176468</v>
      </c>
      <c r="K111" s="33">
        <v>0.24823529411764705</v>
      </c>
      <c r="L111" s="33">
        <v>0.2576470588235294</v>
      </c>
      <c r="M111" s="43">
        <v>0</v>
      </c>
      <c r="N111" s="33">
        <v>0.10305882352941176</v>
      </c>
      <c r="O111" s="33">
        <v>8.1131764705882343</v>
      </c>
      <c r="P111" s="33">
        <v>0</v>
      </c>
      <c r="Q111" s="33">
        <v>0</v>
      </c>
      <c r="R111" s="33">
        <v>0.27870588235294114</v>
      </c>
      <c r="S111" s="33">
        <v>0.17223529411764704</v>
      </c>
      <c r="T111" s="33">
        <v>5.7214117647058815</v>
      </c>
      <c r="U111" s="33">
        <v>0</v>
      </c>
      <c r="V111" s="33">
        <v>0</v>
      </c>
      <c r="W111" s="33">
        <v>5.2269411764705884</v>
      </c>
      <c r="X111" s="33">
        <v>0.63176470588235289</v>
      </c>
      <c r="Y111" s="33">
        <v>11.891294117647059</v>
      </c>
      <c r="Z111" s="33">
        <v>0.67811764705882349</v>
      </c>
      <c r="AA111" s="33">
        <v>0.25729411764705878</v>
      </c>
      <c r="AB111" s="33">
        <v>1.5341176470588234</v>
      </c>
      <c r="AC111" s="43">
        <v>0</v>
      </c>
      <c r="AD111" s="33">
        <v>0.32929411764705879</v>
      </c>
      <c r="AE111" s="21">
        <v>0.11835294117647058</v>
      </c>
      <c r="AF111" s="33">
        <v>8.011764705882353E-2</v>
      </c>
      <c r="AG111" s="33">
        <v>8.199999999999999E-2</v>
      </c>
      <c r="AH111" s="33">
        <v>3.4235294117647051E-2</v>
      </c>
      <c r="AI111" s="33">
        <v>0.35811764705882349</v>
      </c>
    </row>
    <row r="112" spans="1:35" x14ac:dyDescent="0.3">
      <c r="A112" s="32" t="s">
        <v>1305</v>
      </c>
      <c r="B112" s="20" t="s">
        <v>1306</v>
      </c>
      <c r="C112" s="20" t="s">
        <v>20</v>
      </c>
      <c r="D112" s="20" t="s">
        <v>35</v>
      </c>
      <c r="E112" s="20">
        <v>2</v>
      </c>
      <c r="F112" s="20" t="s">
        <v>1286</v>
      </c>
      <c r="G112" s="46">
        <v>30.999999999999915</v>
      </c>
      <c r="H112" s="41" t="s">
        <v>1472</v>
      </c>
      <c r="I112" s="44">
        <f>SUM(J112:AI112)</f>
        <v>26.30388235294118</v>
      </c>
      <c r="J112" s="33">
        <v>0.23658823529411763</v>
      </c>
      <c r="K112" s="33">
        <v>0.22835294117647056</v>
      </c>
      <c r="L112" s="33">
        <v>0.23388235294117643</v>
      </c>
      <c r="M112" s="43">
        <v>0</v>
      </c>
      <c r="N112" s="33">
        <v>8.3764705882352936E-2</v>
      </c>
      <c r="O112" s="33">
        <v>6.3644705882352941</v>
      </c>
      <c r="P112" s="33">
        <v>0</v>
      </c>
      <c r="Q112" s="33">
        <v>0</v>
      </c>
      <c r="R112" s="33">
        <v>0.22388235294117642</v>
      </c>
      <c r="S112" s="33">
        <v>0.11470588235294117</v>
      </c>
      <c r="T112" s="33">
        <v>3.7701176470588234</v>
      </c>
      <c r="U112" s="33">
        <v>0</v>
      </c>
      <c r="V112" s="33">
        <v>0</v>
      </c>
      <c r="W112" s="33">
        <v>4.171176470588235</v>
      </c>
      <c r="X112" s="33">
        <v>0.33199999999999996</v>
      </c>
      <c r="Y112" s="33">
        <v>8.5390588235294107</v>
      </c>
      <c r="Z112" s="33">
        <v>0.54294117647058815</v>
      </c>
      <c r="AA112" s="33">
        <v>0.17258823529411765</v>
      </c>
      <c r="AB112" s="33">
        <v>0.72176470588235286</v>
      </c>
      <c r="AC112" s="43">
        <v>0</v>
      </c>
      <c r="AD112" s="33">
        <v>0.19305882352941175</v>
      </c>
      <c r="AE112" s="21">
        <v>7.1529411764705883E-2</v>
      </c>
      <c r="AF112" s="33">
        <v>5.3294117647058818E-2</v>
      </c>
      <c r="AG112" s="33">
        <v>8.5176470588235284E-2</v>
      </c>
      <c r="AH112" s="33">
        <v>1.1764705882352941E-2</v>
      </c>
      <c r="AI112" s="33">
        <v>0.15376470588235294</v>
      </c>
    </row>
    <row r="113" spans="1:35" x14ac:dyDescent="0.3">
      <c r="A113" s="32" t="s">
        <v>1297</v>
      </c>
      <c r="B113" s="20" t="s">
        <v>1298</v>
      </c>
      <c r="C113" s="20" t="s">
        <v>20</v>
      </c>
      <c r="D113" s="20" t="s">
        <v>37</v>
      </c>
      <c r="E113" s="20">
        <v>2</v>
      </c>
      <c r="F113" s="20" t="s">
        <v>1286</v>
      </c>
      <c r="G113" s="46">
        <v>14.500000000000624</v>
      </c>
      <c r="H113" s="41" t="s">
        <v>1472</v>
      </c>
      <c r="I113" s="44">
        <f>SUM(J113:AI113)</f>
        <v>227.160705882353</v>
      </c>
      <c r="J113" s="33">
        <v>0.30188235294117644</v>
      </c>
      <c r="K113" s="33">
        <v>0.90976470588235281</v>
      </c>
      <c r="L113" s="33">
        <v>2.8758823529411761</v>
      </c>
      <c r="M113" s="43">
        <v>0</v>
      </c>
      <c r="N113" s="33">
        <v>0.29341176470588232</v>
      </c>
      <c r="O113" s="33">
        <v>53.520352941176462</v>
      </c>
      <c r="P113" s="33">
        <v>7.6117647058823526E-2</v>
      </c>
      <c r="Q113" s="33">
        <v>0.18517647058823528</v>
      </c>
      <c r="R113" s="33">
        <v>7.1159999999999988</v>
      </c>
      <c r="S113" s="33">
        <v>0.57141176470588229</v>
      </c>
      <c r="T113" s="33">
        <v>23.15176470588235</v>
      </c>
      <c r="U113" s="33">
        <v>0</v>
      </c>
      <c r="V113" s="33">
        <v>0</v>
      </c>
      <c r="W113" s="33">
        <v>59.742235294117648</v>
      </c>
      <c r="X113" s="33">
        <v>4.0331764705882351</v>
      </c>
      <c r="Y113" s="33">
        <v>61.45305882352941</v>
      </c>
      <c r="Z113" s="33">
        <v>2.8064705882352938</v>
      </c>
      <c r="AA113" s="33">
        <v>0.65541176470588236</v>
      </c>
      <c r="AB113" s="33">
        <v>6.6141176470588237</v>
      </c>
      <c r="AC113" s="43">
        <v>0</v>
      </c>
      <c r="AD113" s="33">
        <v>0.54341176470588237</v>
      </c>
      <c r="AE113" s="21">
        <v>0.15976470588235292</v>
      </c>
      <c r="AF113" s="33">
        <v>0.31082352941176467</v>
      </c>
      <c r="AG113" s="33">
        <v>0.24988235294117644</v>
      </c>
      <c r="AH113" s="33">
        <v>0.10247058823529412</v>
      </c>
      <c r="AI113" s="33">
        <v>1.4881176470588233</v>
      </c>
    </row>
    <row r="114" spans="1:35" x14ac:dyDescent="0.3">
      <c r="A114" s="32" t="s">
        <v>1299</v>
      </c>
      <c r="B114" s="20" t="s">
        <v>1300</v>
      </c>
      <c r="C114" s="20" t="s">
        <v>20</v>
      </c>
      <c r="D114" s="20" t="s">
        <v>39</v>
      </c>
      <c r="E114" s="20">
        <v>2</v>
      </c>
      <c r="F114" s="20" t="s">
        <v>1286</v>
      </c>
      <c r="G114" s="46">
        <v>55.500000000000547</v>
      </c>
      <c r="H114" s="41" t="s">
        <v>1472</v>
      </c>
      <c r="I114" s="44">
        <f>SUM(J114:AI114)</f>
        <v>37.95882352941176</v>
      </c>
      <c r="J114" s="33">
        <v>0.33352941176470585</v>
      </c>
      <c r="K114" s="33">
        <v>0.74352941176470588</v>
      </c>
      <c r="L114" s="33">
        <v>0.52199999999999991</v>
      </c>
      <c r="M114" s="43">
        <v>0</v>
      </c>
      <c r="N114" s="33">
        <v>0.13129411764705881</v>
      </c>
      <c r="O114" s="33">
        <v>9.927999999999999</v>
      </c>
      <c r="P114" s="33">
        <v>0.12905882352941175</v>
      </c>
      <c r="Q114" s="33">
        <v>0</v>
      </c>
      <c r="R114" s="33">
        <v>0.30729411764705883</v>
      </c>
      <c r="S114" s="33">
        <v>0.12917647058823528</v>
      </c>
      <c r="T114" s="33">
        <v>4.072705882352941</v>
      </c>
      <c r="U114" s="33">
        <v>0</v>
      </c>
      <c r="V114" s="33">
        <v>0</v>
      </c>
      <c r="W114" s="33">
        <v>6.6404705882352939</v>
      </c>
      <c r="X114" s="33">
        <v>0.48682352941176465</v>
      </c>
      <c r="Y114" s="33">
        <v>12.097764705882353</v>
      </c>
      <c r="Z114" s="33">
        <v>0.74141176470588233</v>
      </c>
      <c r="AA114" s="33">
        <v>0.33235294117647057</v>
      </c>
      <c r="AB114" s="33">
        <v>0.64894117647058824</v>
      </c>
      <c r="AC114" s="43">
        <v>0</v>
      </c>
      <c r="AD114" s="33">
        <v>0.31094117647058822</v>
      </c>
      <c r="AE114" s="21">
        <v>8.6117647058823521E-2</v>
      </c>
      <c r="AF114" s="33">
        <v>4.058823529411764E-2</v>
      </c>
      <c r="AG114" s="33">
        <v>9.3176470588235291E-2</v>
      </c>
      <c r="AH114" s="33">
        <v>1.8705882352941176E-2</v>
      </c>
      <c r="AI114" s="33">
        <v>0.1649411764705882</v>
      </c>
    </row>
    <row r="115" spans="1:35" x14ac:dyDescent="0.3">
      <c r="A115" s="32" t="s">
        <v>1301</v>
      </c>
      <c r="B115" s="20" t="s">
        <v>1302</v>
      </c>
      <c r="C115" s="20" t="s">
        <v>20</v>
      </c>
      <c r="D115" s="20" t="s">
        <v>41</v>
      </c>
      <c r="E115" s="20">
        <v>2</v>
      </c>
      <c r="F115" s="20" t="s">
        <v>1286</v>
      </c>
      <c r="G115" s="46">
        <v>34.499999999999531</v>
      </c>
      <c r="H115" s="41" t="s">
        <v>1472</v>
      </c>
      <c r="I115" s="44">
        <f>SUM(J115:AI115)</f>
        <v>304.85082352941174</v>
      </c>
      <c r="J115" s="33">
        <v>0.35952941176470588</v>
      </c>
      <c r="K115" s="33">
        <v>0.7409411764705881</v>
      </c>
      <c r="L115" s="33">
        <v>0.8278823529411764</v>
      </c>
      <c r="M115" s="43">
        <v>0</v>
      </c>
      <c r="N115" s="33">
        <v>0.23494117647058824</v>
      </c>
      <c r="O115" s="33">
        <v>73.144705882352937</v>
      </c>
      <c r="P115" s="33">
        <v>6.8629411764705877</v>
      </c>
      <c r="Q115" s="33">
        <v>11.288941176470587</v>
      </c>
      <c r="R115" s="33">
        <v>1.9314117647058824</v>
      </c>
      <c r="S115" s="33">
        <v>0.46882352941176464</v>
      </c>
      <c r="T115" s="33">
        <v>24.457647058823529</v>
      </c>
      <c r="U115" s="33">
        <v>0</v>
      </c>
      <c r="V115" s="33">
        <v>0</v>
      </c>
      <c r="W115" s="33">
        <v>144.9281176470588</v>
      </c>
      <c r="X115" s="33">
        <v>6.1814117647058815</v>
      </c>
      <c r="Y115" s="33">
        <v>23.917999999999999</v>
      </c>
      <c r="Z115" s="33">
        <v>1.3421176470588234</v>
      </c>
      <c r="AA115" s="33">
        <v>3.0547058823529407</v>
      </c>
      <c r="AB115" s="33">
        <v>2.4421176470588231</v>
      </c>
      <c r="AC115" s="43">
        <v>0</v>
      </c>
      <c r="AD115" s="33">
        <v>1.2648235294117645</v>
      </c>
      <c r="AE115" s="21">
        <v>0.26552941176470585</v>
      </c>
      <c r="AF115" s="33">
        <v>0.10199999999999999</v>
      </c>
      <c r="AG115" s="33">
        <v>0.42129411764705882</v>
      </c>
      <c r="AH115" s="33">
        <v>3.6470588235294116E-2</v>
      </c>
      <c r="AI115" s="33">
        <v>0.57647058823529407</v>
      </c>
    </row>
    <row r="116" spans="1:35" x14ac:dyDescent="0.3">
      <c r="A116" s="32" t="s">
        <v>1327</v>
      </c>
      <c r="B116" s="20" t="s">
        <v>1328</v>
      </c>
      <c r="C116" s="20" t="s">
        <v>146</v>
      </c>
      <c r="D116" s="20" t="s">
        <v>157</v>
      </c>
      <c r="E116" s="20">
        <v>2</v>
      </c>
      <c r="F116" s="20" t="s">
        <v>1286</v>
      </c>
      <c r="G116" s="46">
        <v>11.500000000000954</v>
      </c>
      <c r="H116" s="41" t="s">
        <v>1472</v>
      </c>
      <c r="I116" s="44">
        <f>SUM(J116:AI116)</f>
        <v>243.17917647058817</v>
      </c>
      <c r="J116" s="33">
        <v>0.40576470588235292</v>
      </c>
      <c r="K116" s="33">
        <v>0.66329411764705881</v>
      </c>
      <c r="L116" s="33">
        <v>0.53694117647058814</v>
      </c>
      <c r="M116" s="43">
        <v>0</v>
      </c>
      <c r="N116" s="33">
        <v>0.27211764705882352</v>
      </c>
      <c r="O116" s="33">
        <v>74.473411764705872</v>
      </c>
      <c r="P116" s="33">
        <v>46.554352941176468</v>
      </c>
      <c r="Q116" s="33">
        <v>20.122941176470587</v>
      </c>
      <c r="R116" s="33">
        <v>0.3955294117647058</v>
      </c>
      <c r="S116" s="33">
        <v>0.56847058823529406</v>
      </c>
      <c r="T116" s="33">
        <v>27.503999999999998</v>
      </c>
      <c r="U116" s="33">
        <v>0</v>
      </c>
      <c r="V116" s="33">
        <v>0</v>
      </c>
      <c r="W116" s="33">
        <v>39.701764705882347</v>
      </c>
      <c r="X116" s="33">
        <v>1.8825882352941175</v>
      </c>
      <c r="Y116" s="33">
        <v>19.814470588235292</v>
      </c>
      <c r="Z116" s="33">
        <v>0.98458823529411754</v>
      </c>
      <c r="AA116" s="33">
        <v>3.4039999999999995</v>
      </c>
      <c r="AB116" s="33">
        <v>1.9754117647058822</v>
      </c>
      <c r="AC116" s="43">
        <v>0</v>
      </c>
      <c r="AD116" s="33">
        <v>1.9143529411764704</v>
      </c>
      <c r="AE116" s="21">
        <v>0.31458823529411761</v>
      </c>
      <c r="AF116" s="33">
        <v>9.2117647058823526E-2</v>
      </c>
      <c r="AG116" s="33">
        <v>1.0118823529411765</v>
      </c>
      <c r="AH116" s="33">
        <v>4.5999999999999999E-2</v>
      </c>
      <c r="AI116" s="33">
        <v>0.54058823529411759</v>
      </c>
    </row>
    <row r="117" spans="1:35" x14ac:dyDescent="0.3">
      <c r="A117" s="32" t="s">
        <v>1329</v>
      </c>
      <c r="B117" s="20" t="s">
        <v>1330</v>
      </c>
      <c r="C117" s="20" t="s">
        <v>146</v>
      </c>
      <c r="D117" s="20" t="s">
        <v>159</v>
      </c>
      <c r="E117" s="20">
        <v>2</v>
      </c>
      <c r="F117" s="20" t="s">
        <v>1286</v>
      </c>
      <c r="G117" s="46">
        <v>11.999999999999789</v>
      </c>
      <c r="H117" s="41" t="s">
        <v>1472</v>
      </c>
      <c r="I117" s="44">
        <f>SUM(J117:AI117)</f>
        <v>775.43917647058822</v>
      </c>
      <c r="J117" s="33">
        <v>0.15541176470588233</v>
      </c>
      <c r="K117" s="33">
        <v>0.22705882352941176</v>
      </c>
      <c r="L117" s="33">
        <v>0.50258823529411767</v>
      </c>
      <c r="M117" s="43">
        <v>0</v>
      </c>
      <c r="N117" s="33">
        <v>0.48058823529411759</v>
      </c>
      <c r="O117" s="33">
        <v>128.31399999999999</v>
      </c>
      <c r="P117" s="33">
        <v>40.140823529411762</v>
      </c>
      <c r="Q117" s="33">
        <v>32.101647058823524</v>
      </c>
      <c r="R117" s="33">
        <v>4.8277647058823527</v>
      </c>
      <c r="S117" s="33">
        <v>1.0196470588235294</v>
      </c>
      <c r="T117" s="33">
        <v>44.315882352941173</v>
      </c>
      <c r="U117" s="33">
        <v>0</v>
      </c>
      <c r="V117" s="33">
        <v>0</v>
      </c>
      <c r="W117" s="33">
        <v>430.82423529411761</v>
      </c>
      <c r="X117" s="33">
        <v>15.512235294117646</v>
      </c>
      <c r="Y117" s="33">
        <v>59.411882352941177</v>
      </c>
      <c r="Z117" s="33">
        <v>3.7432941176470589</v>
      </c>
      <c r="AA117" s="33">
        <v>3.8162352941176469</v>
      </c>
      <c r="AB117" s="33">
        <v>6.8558823529411761</v>
      </c>
      <c r="AC117" s="43">
        <v>0</v>
      </c>
      <c r="AD117" s="33">
        <v>1.1835294117647057</v>
      </c>
      <c r="AE117" s="21">
        <v>0.23494117647058824</v>
      </c>
      <c r="AF117" s="33">
        <v>0.25682352941176467</v>
      </c>
      <c r="AG117" s="33">
        <v>0.15847058823529409</v>
      </c>
      <c r="AH117" s="33">
        <v>7.4705882352941164E-2</v>
      </c>
      <c r="AI117" s="33">
        <v>1.2815294117647058</v>
      </c>
    </row>
    <row r="118" spans="1:35" x14ac:dyDescent="0.3">
      <c r="A118" s="32" t="s">
        <v>1325</v>
      </c>
      <c r="B118" s="20" t="s">
        <v>1326</v>
      </c>
      <c r="C118" s="20" t="s">
        <v>146</v>
      </c>
      <c r="D118" s="20" t="s">
        <v>155</v>
      </c>
      <c r="E118" s="20">
        <v>2</v>
      </c>
      <c r="F118" s="20" t="s">
        <v>1286</v>
      </c>
      <c r="G118" s="46">
        <v>11.999999999999789</v>
      </c>
      <c r="H118" s="41" t="s">
        <v>1472</v>
      </c>
      <c r="I118" s="44">
        <f>SUM(J118:AI118)</f>
        <v>404.71223529411753</v>
      </c>
      <c r="J118" s="33">
        <v>0.22541176470588234</v>
      </c>
      <c r="K118" s="33">
        <v>0.66941176470588226</v>
      </c>
      <c r="L118" s="33">
        <v>0.78764705882352926</v>
      </c>
      <c r="M118" s="43">
        <v>0</v>
      </c>
      <c r="N118" s="33">
        <v>0.89799999999999991</v>
      </c>
      <c r="O118" s="33">
        <v>73.611058823529405</v>
      </c>
      <c r="P118" s="33">
        <v>4.4642352941176471</v>
      </c>
      <c r="Q118" s="33">
        <v>10.867411764705881</v>
      </c>
      <c r="R118" s="33">
        <v>2.0894117647058823</v>
      </c>
      <c r="S118" s="33">
        <v>1.0107058823529411</v>
      </c>
      <c r="T118" s="33">
        <v>34.595882352941175</v>
      </c>
      <c r="U118" s="33">
        <v>0</v>
      </c>
      <c r="V118" s="33">
        <v>0</v>
      </c>
      <c r="W118" s="33">
        <v>205.28141176470587</v>
      </c>
      <c r="X118" s="33">
        <v>8.2292941176470578</v>
      </c>
      <c r="Y118" s="33">
        <v>45.789411764705882</v>
      </c>
      <c r="Z118" s="33">
        <v>2.0570588235294118</v>
      </c>
      <c r="AA118" s="33">
        <v>2.1409411764705881</v>
      </c>
      <c r="AB118" s="33">
        <v>8.6991764705882346</v>
      </c>
      <c r="AC118" s="43">
        <v>0</v>
      </c>
      <c r="AD118" s="33">
        <v>0.94411764705882351</v>
      </c>
      <c r="AE118" s="21">
        <v>0.18917647058823528</v>
      </c>
      <c r="AF118" s="33">
        <v>0.35482352941176465</v>
      </c>
      <c r="AG118" s="33">
        <v>0.22800000000000001</v>
      </c>
      <c r="AH118" s="33">
        <v>0.10588235294117646</v>
      </c>
      <c r="AI118" s="33">
        <v>1.4737647058823526</v>
      </c>
    </row>
    <row r="119" spans="1:35" x14ac:dyDescent="0.3">
      <c r="A119" s="32" t="s">
        <v>1331</v>
      </c>
      <c r="B119" s="20" t="s">
        <v>1332</v>
      </c>
      <c r="C119" s="20" t="s">
        <v>146</v>
      </c>
      <c r="D119" s="20" t="s">
        <v>151</v>
      </c>
      <c r="E119" s="20">
        <v>2</v>
      </c>
      <c r="F119" s="20" t="s">
        <v>1286</v>
      </c>
      <c r="G119" s="46">
        <v>20.499999999999961</v>
      </c>
      <c r="H119" s="41" t="s">
        <v>1472</v>
      </c>
      <c r="I119" s="44">
        <f>SUM(J119:AI119)</f>
        <v>233.0556470588235</v>
      </c>
      <c r="J119" s="33">
        <v>0.20423529411764704</v>
      </c>
      <c r="K119" s="33">
        <v>0.20870588235294116</v>
      </c>
      <c r="L119" s="33">
        <v>0.39223529411764707</v>
      </c>
      <c r="M119" s="43">
        <v>0</v>
      </c>
      <c r="N119" s="33">
        <v>0.13905882352941176</v>
      </c>
      <c r="O119" s="33">
        <v>70.257647058823522</v>
      </c>
      <c r="P119" s="33">
        <v>34.587411764705877</v>
      </c>
      <c r="Q119" s="33">
        <v>23.419882352941176</v>
      </c>
      <c r="R119" s="33">
        <v>0.57470588235294107</v>
      </c>
      <c r="S119" s="33">
        <v>0.44400000000000001</v>
      </c>
      <c r="T119" s="33">
        <v>23.744235294117647</v>
      </c>
      <c r="U119" s="33">
        <v>0</v>
      </c>
      <c r="V119" s="33">
        <v>0</v>
      </c>
      <c r="W119" s="33">
        <v>49.66541176470588</v>
      </c>
      <c r="X119" s="33">
        <v>2.7287058823529411</v>
      </c>
      <c r="Y119" s="33">
        <v>19.684235294117645</v>
      </c>
      <c r="Z119" s="33">
        <v>1.2832941176470587</v>
      </c>
      <c r="AA119" s="33">
        <v>2.6898823529411762</v>
      </c>
      <c r="AB119" s="33">
        <v>0.95564705882352929</v>
      </c>
      <c r="AC119" s="43">
        <v>0</v>
      </c>
      <c r="AD119" s="33">
        <v>1.0682352941176469</v>
      </c>
      <c r="AE119" s="21">
        <v>0.2677647058823529</v>
      </c>
      <c r="AF119" s="33">
        <v>4.8117647058823522E-2</v>
      </c>
      <c r="AG119" s="33">
        <v>5.28235294117647E-2</v>
      </c>
      <c r="AH119" s="33">
        <v>3.4117647058823523E-2</v>
      </c>
      <c r="AI119" s="33">
        <v>0.60529411764705876</v>
      </c>
    </row>
    <row r="120" spans="1:35" x14ac:dyDescent="0.3">
      <c r="A120" s="32" t="s">
        <v>1333</v>
      </c>
      <c r="B120" s="20" t="s">
        <v>1334</v>
      </c>
      <c r="C120" s="20" t="s">
        <v>146</v>
      </c>
      <c r="D120" s="20" t="s">
        <v>153</v>
      </c>
      <c r="E120" s="20">
        <v>2</v>
      </c>
      <c r="F120" s="20" t="s">
        <v>1286</v>
      </c>
      <c r="G120" s="46">
        <v>19.500000000000071</v>
      </c>
      <c r="H120" s="41" t="s">
        <v>1472</v>
      </c>
      <c r="I120" s="44">
        <f>SUM(J120:AI120)</f>
        <v>493.24658823529415</v>
      </c>
      <c r="J120" s="33">
        <v>0.19835294117647057</v>
      </c>
      <c r="K120" s="33">
        <v>0.27894117647058819</v>
      </c>
      <c r="L120" s="33">
        <v>0.60988235294117643</v>
      </c>
      <c r="M120" s="43">
        <v>0</v>
      </c>
      <c r="N120" s="33">
        <v>0.2501176470588235</v>
      </c>
      <c r="O120" s="33">
        <v>132.40694117647058</v>
      </c>
      <c r="P120" s="33">
        <v>52.745058823529405</v>
      </c>
      <c r="Q120" s="33">
        <v>25.827764705882352</v>
      </c>
      <c r="R120" s="33">
        <v>2.2678823529411765</v>
      </c>
      <c r="S120" s="33">
        <v>0.78294117647058814</v>
      </c>
      <c r="T120" s="33">
        <v>39.072588235294113</v>
      </c>
      <c r="U120" s="33">
        <v>0</v>
      </c>
      <c r="V120" s="33">
        <v>0</v>
      </c>
      <c r="W120" s="33">
        <v>191.60105882352943</v>
      </c>
      <c r="X120" s="33">
        <v>9.6543529411764695</v>
      </c>
      <c r="Y120" s="33">
        <v>27.410117647058822</v>
      </c>
      <c r="Z120" s="33">
        <v>1.8019999999999998</v>
      </c>
      <c r="AA120" s="33">
        <v>4.5734117647058818</v>
      </c>
      <c r="AB120" s="33">
        <v>1.5041176470588233</v>
      </c>
      <c r="AC120" s="43">
        <v>0</v>
      </c>
      <c r="AD120" s="33">
        <v>1.3404705882352941</v>
      </c>
      <c r="AE120" s="21">
        <v>0.25282352941176467</v>
      </c>
      <c r="AF120" s="33">
        <v>7.7411764705882347E-2</v>
      </c>
      <c r="AG120" s="33">
        <v>8.2470588235294101E-2</v>
      </c>
      <c r="AH120" s="33">
        <v>3.011764705882353E-2</v>
      </c>
      <c r="AI120" s="33">
        <v>0.47776470588235292</v>
      </c>
    </row>
    <row r="121" spans="1:35" x14ac:dyDescent="0.3">
      <c r="A121" s="32" t="s">
        <v>1363</v>
      </c>
      <c r="B121" s="20" t="s">
        <v>1364</v>
      </c>
      <c r="C121" s="20" t="s">
        <v>261</v>
      </c>
      <c r="D121" s="20" t="s">
        <v>274</v>
      </c>
      <c r="E121" s="20">
        <v>2</v>
      </c>
      <c r="F121" s="20" t="s">
        <v>1286</v>
      </c>
      <c r="G121" s="46">
        <v>20.000000000000018</v>
      </c>
      <c r="H121" s="41" t="s">
        <v>1472</v>
      </c>
      <c r="I121" s="44">
        <f>SUM(J121:AI121)</f>
        <v>542.08494117647069</v>
      </c>
      <c r="J121" s="33">
        <v>0.38470588235294112</v>
      </c>
      <c r="K121" s="33">
        <v>0.65952941176470581</v>
      </c>
      <c r="L121" s="33">
        <v>0.81870588235294106</v>
      </c>
      <c r="M121" s="43">
        <v>0</v>
      </c>
      <c r="N121" s="33">
        <v>0.33364705882352941</v>
      </c>
      <c r="O121" s="33">
        <v>146.81835294117644</v>
      </c>
      <c r="P121" s="33">
        <v>64.486235294117634</v>
      </c>
      <c r="Q121" s="33">
        <v>28.655411764705878</v>
      </c>
      <c r="R121" s="33">
        <v>2.1928235294117644</v>
      </c>
      <c r="S121" s="33">
        <v>0.8398823529411763</v>
      </c>
      <c r="T121" s="33">
        <v>45.636941176470586</v>
      </c>
      <c r="U121" s="33">
        <v>0</v>
      </c>
      <c r="V121" s="33">
        <v>0</v>
      </c>
      <c r="W121" s="33">
        <v>194.67517647058821</v>
      </c>
      <c r="X121" s="33">
        <v>8.7681176470588227</v>
      </c>
      <c r="Y121" s="33">
        <v>33.218117647058818</v>
      </c>
      <c r="Z121" s="33">
        <v>1.8510588235294116</v>
      </c>
      <c r="AA121" s="33">
        <v>4.6529411764705877</v>
      </c>
      <c r="AB121" s="33">
        <v>4.9010588235294117</v>
      </c>
      <c r="AC121" s="43">
        <v>0</v>
      </c>
      <c r="AD121" s="33">
        <v>1.4657647058823529</v>
      </c>
      <c r="AE121" s="21">
        <v>0.32117647058823529</v>
      </c>
      <c r="AF121" s="33">
        <v>0.14964705882352941</v>
      </c>
      <c r="AG121" s="33">
        <v>7.0117647058823521E-2</v>
      </c>
      <c r="AH121" s="33">
        <v>4.8352941176470585E-2</v>
      </c>
      <c r="AI121" s="33">
        <v>1.1371764705882352</v>
      </c>
    </row>
    <row r="122" spans="1:35" x14ac:dyDescent="0.3">
      <c r="A122" s="32" t="s">
        <v>1365</v>
      </c>
      <c r="B122" s="20" t="s">
        <v>1366</v>
      </c>
      <c r="C122" s="20" t="s">
        <v>261</v>
      </c>
      <c r="D122" s="20" t="s">
        <v>276</v>
      </c>
      <c r="E122" s="20">
        <v>2</v>
      </c>
      <c r="F122" s="20" t="s">
        <v>1286</v>
      </c>
      <c r="G122" s="46">
        <v>15.500000000000513</v>
      </c>
      <c r="H122" s="41" t="s">
        <v>1472</v>
      </c>
      <c r="I122" s="44">
        <f>SUM(J122:AI122)</f>
        <v>1226.1123529411759</v>
      </c>
      <c r="J122" s="33">
        <v>0.3738823529411765</v>
      </c>
      <c r="K122" s="33">
        <v>0.5232941176470588</v>
      </c>
      <c r="L122" s="33">
        <v>2.3261176470588234</v>
      </c>
      <c r="M122" s="43">
        <v>0</v>
      </c>
      <c r="N122" s="33">
        <v>0.46847058823529408</v>
      </c>
      <c r="O122" s="33">
        <v>228.70611764705882</v>
      </c>
      <c r="P122" s="33">
        <v>102.12435294117645</v>
      </c>
      <c r="Q122" s="33">
        <v>56.313647058823527</v>
      </c>
      <c r="R122" s="33">
        <v>13.505529411764703</v>
      </c>
      <c r="S122" s="33">
        <v>1.1751764705882353</v>
      </c>
      <c r="T122" s="33">
        <v>60.631294117647059</v>
      </c>
      <c r="U122" s="33">
        <v>0</v>
      </c>
      <c r="V122" s="33">
        <v>0</v>
      </c>
      <c r="W122" s="33">
        <v>629.64847058823523</v>
      </c>
      <c r="X122" s="33">
        <v>22.628</v>
      </c>
      <c r="Y122" s="33">
        <v>86.268705882352933</v>
      </c>
      <c r="Z122" s="33">
        <v>6.6721176470588235</v>
      </c>
      <c r="AA122" s="33">
        <v>8.3804705882352923</v>
      </c>
      <c r="AB122" s="33">
        <v>2.6669411764705879</v>
      </c>
      <c r="AC122" s="43">
        <v>0</v>
      </c>
      <c r="AD122" s="33">
        <v>2.3650588235294112</v>
      </c>
      <c r="AE122" s="21">
        <v>0.42399999999999999</v>
      </c>
      <c r="AF122" s="33">
        <v>0.1532941176470588</v>
      </c>
      <c r="AG122" s="33">
        <v>0.10776470588235293</v>
      </c>
      <c r="AH122" s="33">
        <v>4.8352941176470585E-2</v>
      </c>
      <c r="AI122" s="33">
        <v>0.60129411764705876</v>
      </c>
    </row>
    <row r="123" spans="1:35" x14ac:dyDescent="0.3">
      <c r="A123" s="32" t="s">
        <v>1357</v>
      </c>
      <c r="B123" s="20" t="s">
        <v>1358</v>
      </c>
      <c r="C123" s="20" t="s">
        <v>261</v>
      </c>
      <c r="D123" s="20" t="s">
        <v>278</v>
      </c>
      <c r="E123" s="20">
        <v>2</v>
      </c>
      <c r="F123" s="20" t="s">
        <v>1286</v>
      </c>
      <c r="G123" s="46">
        <v>26.000000000000465</v>
      </c>
      <c r="H123" s="41" t="s">
        <v>1472</v>
      </c>
      <c r="I123" s="44">
        <f>SUM(J123:AI123)</f>
        <v>62.559058823529419</v>
      </c>
      <c r="J123" s="33">
        <v>0.19235294117647056</v>
      </c>
      <c r="K123" s="33">
        <v>0.2521176470588235</v>
      </c>
      <c r="L123" s="33">
        <v>0.5212941176470588</v>
      </c>
      <c r="M123" s="43">
        <v>0</v>
      </c>
      <c r="N123" s="33">
        <v>0.12023529411764705</v>
      </c>
      <c r="O123" s="33">
        <v>13.272470588235294</v>
      </c>
      <c r="P123" s="33">
        <v>1.658705882352941</v>
      </c>
      <c r="Q123" s="33">
        <v>0.98576470588235288</v>
      </c>
      <c r="R123" s="33">
        <v>0.86635294117647044</v>
      </c>
      <c r="S123" s="33">
        <v>0.17623529411764705</v>
      </c>
      <c r="T123" s="33">
        <v>6.1381176470588228</v>
      </c>
      <c r="U123" s="33">
        <v>0</v>
      </c>
      <c r="V123" s="33">
        <v>0</v>
      </c>
      <c r="W123" s="33">
        <v>13.745999999999999</v>
      </c>
      <c r="X123" s="33">
        <v>1.0136470588235293</v>
      </c>
      <c r="Y123" s="33">
        <v>20.379882352941177</v>
      </c>
      <c r="Z123" s="33">
        <v>1.1068235294117645</v>
      </c>
      <c r="AA123" s="33">
        <v>0.31647058823529411</v>
      </c>
      <c r="AB123" s="33">
        <v>1.0534117647058823</v>
      </c>
      <c r="AC123" s="43">
        <v>0</v>
      </c>
      <c r="AD123" s="33">
        <v>0.252</v>
      </c>
      <c r="AE123" s="21">
        <v>7.3999999999999982E-2</v>
      </c>
      <c r="AF123" s="33">
        <v>8.2823529411764699E-2</v>
      </c>
      <c r="AG123" s="33">
        <v>4.270588235294117E-2</v>
      </c>
      <c r="AH123" s="33">
        <v>1.564705882352941E-2</v>
      </c>
      <c r="AI123" s="33">
        <v>0.29199999999999998</v>
      </c>
    </row>
    <row r="124" spans="1:35" x14ac:dyDescent="0.3">
      <c r="A124" s="32" t="s">
        <v>1359</v>
      </c>
      <c r="B124" s="20" t="s">
        <v>1360</v>
      </c>
      <c r="C124" s="20" t="s">
        <v>261</v>
      </c>
      <c r="D124" s="20" t="s">
        <v>280</v>
      </c>
      <c r="E124" s="20">
        <v>2</v>
      </c>
      <c r="F124" s="20" t="s">
        <v>1286</v>
      </c>
      <c r="G124" s="46">
        <v>17.500000000000291</v>
      </c>
      <c r="H124" s="41" t="s">
        <v>1472</v>
      </c>
      <c r="I124" s="44">
        <f>SUM(J124:AI124)</f>
        <v>240.06117647058818</v>
      </c>
      <c r="J124" s="33">
        <v>0.17105882352941176</v>
      </c>
      <c r="K124" s="33">
        <v>0.27999999999999997</v>
      </c>
      <c r="L124" s="33">
        <v>0.56247058823529406</v>
      </c>
      <c r="M124" s="43">
        <v>0</v>
      </c>
      <c r="N124" s="33">
        <v>0.29611764705882354</v>
      </c>
      <c r="O124" s="33">
        <v>41.428352941176463</v>
      </c>
      <c r="P124" s="33">
        <v>12.187176470588236</v>
      </c>
      <c r="Q124" s="33">
        <v>7.5957647058823525</v>
      </c>
      <c r="R124" s="33">
        <v>1.5734117647058823</v>
      </c>
      <c r="S124" s="33">
        <v>0.50894117647058823</v>
      </c>
      <c r="T124" s="33">
        <v>26.082823529411762</v>
      </c>
      <c r="U124" s="33">
        <v>3.3411764705882349E-2</v>
      </c>
      <c r="V124" s="33">
        <v>6.0941176470588228E-2</v>
      </c>
      <c r="W124" s="33">
        <v>102.04635294117647</v>
      </c>
      <c r="X124" s="33">
        <v>4.3917647058823528</v>
      </c>
      <c r="Y124" s="33">
        <v>28.537764705882353</v>
      </c>
      <c r="Z124" s="33">
        <v>1.2416470588235293</v>
      </c>
      <c r="AA124" s="33">
        <v>1.6365882352941177</v>
      </c>
      <c r="AB124" s="33">
        <v>7.9422352941176459</v>
      </c>
      <c r="AC124" s="43">
        <v>0</v>
      </c>
      <c r="AD124" s="33">
        <v>0.70152941176470585</v>
      </c>
      <c r="AE124" s="21">
        <v>0.19176470588235292</v>
      </c>
      <c r="AF124" s="33">
        <v>0.32188235294117645</v>
      </c>
      <c r="AG124" s="33">
        <v>8.905882352941176E-2</v>
      </c>
      <c r="AH124" s="33">
        <v>9.4470588235294112E-2</v>
      </c>
      <c r="AI124" s="33">
        <v>2.085647058823529</v>
      </c>
    </row>
    <row r="125" spans="1:35" x14ac:dyDescent="0.3">
      <c r="A125" s="32" t="s">
        <v>1361</v>
      </c>
      <c r="B125" s="20" t="s">
        <v>1362</v>
      </c>
      <c r="C125" s="20" t="s">
        <v>261</v>
      </c>
      <c r="D125" s="20" t="s">
        <v>282</v>
      </c>
      <c r="E125" s="20">
        <v>2</v>
      </c>
      <c r="F125" s="20" t="s">
        <v>1286</v>
      </c>
      <c r="G125" s="46">
        <v>15.000000000000568</v>
      </c>
      <c r="H125" s="41" t="s">
        <v>1472</v>
      </c>
      <c r="I125" s="44">
        <f>SUM(J125:AI125)</f>
        <v>293.22623529411766</v>
      </c>
      <c r="J125" s="33">
        <v>0.24317647058823527</v>
      </c>
      <c r="K125" s="33">
        <v>0.52164705882352935</v>
      </c>
      <c r="L125" s="33">
        <v>0.5911764705882353</v>
      </c>
      <c r="M125" s="43">
        <v>0</v>
      </c>
      <c r="N125" s="33">
        <v>0.20117647058823529</v>
      </c>
      <c r="O125" s="33">
        <v>98.92329411764706</v>
      </c>
      <c r="P125" s="33">
        <v>60.554588235294119</v>
      </c>
      <c r="Q125" s="33">
        <v>27.225058823529409</v>
      </c>
      <c r="R125" s="33">
        <v>0.69694117647058818</v>
      </c>
      <c r="S125" s="33">
        <v>0.49858823529411761</v>
      </c>
      <c r="T125" s="33">
        <v>28.185882352941174</v>
      </c>
      <c r="U125" s="33">
        <v>0</v>
      </c>
      <c r="V125" s="33">
        <v>0</v>
      </c>
      <c r="W125" s="33">
        <v>51.573294117647052</v>
      </c>
      <c r="X125" s="33">
        <v>2.3820000000000001</v>
      </c>
      <c r="Y125" s="33">
        <v>15.027882352941175</v>
      </c>
      <c r="Z125" s="33">
        <v>0.86799999999999988</v>
      </c>
      <c r="AA125" s="33">
        <v>3.0062352941176465</v>
      </c>
      <c r="AB125" s="33">
        <v>0.96070588235294108</v>
      </c>
      <c r="AC125" s="43">
        <v>0</v>
      </c>
      <c r="AD125" s="33">
        <v>0.96894117647058819</v>
      </c>
      <c r="AE125" s="21">
        <v>0.2104705882352941</v>
      </c>
      <c r="AF125" s="33">
        <v>4.8235294117647057E-2</v>
      </c>
      <c r="AG125" s="33">
        <v>6.6823529411764698E-2</v>
      </c>
      <c r="AH125" s="33">
        <v>1.8941176470588236E-2</v>
      </c>
      <c r="AI125" s="33">
        <v>0.45317647058823524</v>
      </c>
    </row>
    <row r="126" spans="1:35" x14ac:dyDescent="0.3">
      <c r="A126" s="32" t="s">
        <v>1313</v>
      </c>
      <c r="B126" s="20" t="s">
        <v>1314</v>
      </c>
      <c r="C126" s="20" t="s">
        <v>20</v>
      </c>
      <c r="D126" s="20" t="s">
        <v>43</v>
      </c>
      <c r="E126" s="20">
        <v>6</v>
      </c>
      <c r="F126" s="20" t="s">
        <v>1286</v>
      </c>
      <c r="G126" s="46">
        <v>35.500000000000526</v>
      </c>
      <c r="H126" s="41" t="s">
        <v>1472</v>
      </c>
      <c r="I126" s="44">
        <f>SUM(J126:AI126)</f>
        <v>112.43458823529413</v>
      </c>
      <c r="J126" s="33">
        <v>0.24035294117647057</v>
      </c>
      <c r="K126" s="33">
        <v>0.2732941176470588</v>
      </c>
      <c r="L126" s="33">
        <v>0.37047058823529405</v>
      </c>
      <c r="M126" s="43">
        <v>0</v>
      </c>
      <c r="N126" s="33">
        <v>0.15364705882352941</v>
      </c>
      <c r="O126" s="33">
        <v>35.937058823529412</v>
      </c>
      <c r="P126" s="33">
        <v>16.423529411764704</v>
      </c>
      <c r="Q126" s="33">
        <v>9.0957647058823525</v>
      </c>
      <c r="R126" s="33">
        <v>0.19435294117647056</v>
      </c>
      <c r="S126" s="33">
        <v>0.26635294117647057</v>
      </c>
      <c r="T126" s="33">
        <v>13.612352941176468</v>
      </c>
      <c r="U126" s="33">
        <v>0</v>
      </c>
      <c r="V126" s="33">
        <v>0</v>
      </c>
      <c r="W126" s="33">
        <v>18.134</v>
      </c>
      <c r="X126" s="33">
        <v>0.92105882352941171</v>
      </c>
      <c r="Y126" s="33">
        <v>11.671882352941177</v>
      </c>
      <c r="Z126" s="33">
        <v>0.79647058823529404</v>
      </c>
      <c r="AA126" s="33">
        <v>2.091176470588235</v>
      </c>
      <c r="AB126" s="33">
        <v>0.5696470588235294</v>
      </c>
      <c r="AC126" s="43">
        <v>0</v>
      </c>
      <c r="AD126" s="33">
        <v>1.0382352941176469</v>
      </c>
      <c r="AE126" s="21">
        <v>0.24576470588235291</v>
      </c>
      <c r="AF126" s="33">
        <v>4.3294117647058823E-2</v>
      </c>
      <c r="AG126" s="33">
        <v>0.15411764705882353</v>
      </c>
      <c r="AH126" s="33">
        <v>1.8235294117647058E-2</v>
      </c>
      <c r="AI126" s="33">
        <v>0.18352941176470586</v>
      </c>
    </row>
    <row r="127" spans="1:35" x14ac:dyDescent="0.3">
      <c r="A127" s="32" t="s">
        <v>1307</v>
      </c>
      <c r="B127" s="20" t="s">
        <v>1308</v>
      </c>
      <c r="C127" s="20" t="s">
        <v>20</v>
      </c>
      <c r="D127" s="20" t="s">
        <v>47</v>
      </c>
      <c r="E127" s="20">
        <v>6</v>
      </c>
      <c r="F127" s="20" t="s">
        <v>1286</v>
      </c>
      <c r="G127" s="46">
        <v>26.999999999999247</v>
      </c>
      <c r="H127" s="41" t="s">
        <v>1472</v>
      </c>
      <c r="I127" s="44">
        <f>SUM(J127:AI127)</f>
        <v>47.426470588235297</v>
      </c>
      <c r="J127" s="33">
        <v>0.28764705882352937</v>
      </c>
      <c r="K127" s="33">
        <v>1.3076470588235294</v>
      </c>
      <c r="L127" s="33">
        <v>0.4265882352941176</v>
      </c>
      <c r="M127" s="43">
        <v>0</v>
      </c>
      <c r="N127" s="33">
        <v>0.12035294117647058</v>
      </c>
      <c r="O127" s="33">
        <v>10.144470588235293</v>
      </c>
      <c r="P127" s="33">
        <v>0.32870588235294113</v>
      </c>
      <c r="Q127" s="33">
        <v>4.8772941176470583</v>
      </c>
      <c r="R127" s="33">
        <v>0.17752941176470585</v>
      </c>
      <c r="S127" s="33">
        <v>0.15811764705882353</v>
      </c>
      <c r="T127" s="33">
        <v>5.5615294117647052</v>
      </c>
      <c r="U127" s="33">
        <v>0</v>
      </c>
      <c r="V127" s="33">
        <v>0</v>
      </c>
      <c r="W127" s="33">
        <v>7.1843529411764706</v>
      </c>
      <c r="X127" s="33">
        <v>0.51329411764705879</v>
      </c>
      <c r="Y127" s="33">
        <v>12.429529411764706</v>
      </c>
      <c r="Z127" s="33">
        <v>0.74588235294117644</v>
      </c>
      <c r="AA127" s="33">
        <v>0.84458823529411764</v>
      </c>
      <c r="AB127" s="33">
        <v>0.81305882352941172</v>
      </c>
      <c r="AC127" s="43">
        <v>0</v>
      </c>
      <c r="AD127" s="33">
        <v>0.69670588235294117</v>
      </c>
      <c r="AE127" s="21">
        <v>0.17211764705882351</v>
      </c>
      <c r="AF127" s="33">
        <v>4.5764705882352937E-2</v>
      </c>
      <c r="AG127" s="33">
        <v>0.31847058823529412</v>
      </c>
      <c r="AH127" s="33">
        <v>7.6470588235294104E-3</v>
      </c>
      <c r="AI127" s="33">
        <v>0.26517647058823529</v>
      </c>
    </row>
    <row r="128" spans="1:35" x14ac:dyDescent="0.3">
      <c r="A128" s="32" t="s">
        <v>1309</v>
      </c>
      <c r="B128" s="20" t="s">
        <v>1310</v>
      </c>
      <c r="C128" s="20" t="s">
        <v>20</v>
      </c>
      <c r="D128" s="20" t="s">
        <v>49</v>
      </c>
      <c r="E128" s="20">
        <v>6</v>
      </c>
      <c r="F128" s="20" t="s">
        <v>1286</v>
      </c>
      <c r="G128" s="46">
        <v>44.499999999999538</v>
      </c>
      <c r="H128" s="41" t="s">
        <v>1472</v>
      </c>
      <c r="I128" s="44">
        <f>SUM(J128:AI128)</f>
        <v>60.927529411764702</v>
      </c>
      <c r="J128" s="33">
        <v>0.25929411764705879</v>
      </c>
      <c r="K128" s="33">
        <v>0.48435294117647054</v>
      </c>
      <c r="L128" s="33">
        <v>0.44905882352941173</v>
      </c>
      <c r="M128" s="43">
        <v>0</v>
      </c>
      <c r="N128" s="33">
        <v>0.11141176470588234</v>
      </c>
      <c r="O128" s="33">
        <v>13.414117647058823</v>
      </c>
      <c r="P128" s="33">
        <v>1.7281176470588233</v>
      </c>
      <c r="Q128" s="33">
        <v>5.4719999999999995</v>
      </c>
      <c r="R128" s="33">
        <v>0.37564705882352939</v>
      </c>
      <c r="S128" s="33">
        <v>0.14352941176470588</v>
      </c>
      <c r="T128" s="33">
        <v>5.4838823529411762</v>
      </c>
      <c r="U128" s="33">
        <v>0</v>
      </c>
      <c r="V128" s="33">
        <v>0</v>
      </c>
      <c r="W128" s="33">
        <v>15.568</v>
      </c>
      <c r="X128" s="33">
        <v>0.79847058823529404</v>
      </c>
      <c r="Y128" s="33">
        <v>13.500588235294117</v>
      </c>
      <c r="Z128" s="33">
        <v>0.83058823529411752</v>
      </c>
      <c r="AA128" s="33">
        <v>0.41470588235294109</v>
      </c>
      <c r="AB128" s="33">
        <v>0.70411764705882351</v>
      </c>
      <c r="AC128" s="43">
        <v>0</v>
      </c>
      <c r="AD128" s="33">
        <v>0.39505882352941174</v>
      </c>
      <c r="AE128" s="21">
        <v>0.11741176470588234</v>
      </c>
      <c r="AF128" s="33">
        <v>2.8000000000000001E-2</v>
      </c>
      <c r="AG128" s="33">
        <v>0.44717647058823529</v>
      </c>
      <c r="AH128" s="33">
        <v>6.5882352941176456E-3</v>
      </c>
      <c r="AI128" s="33">
        <v>0.19541176470588234</v>
      </c>
    </row>
    <row r="129" spans="1:35" x14ac:dyDescent="0.3">
      <c r="A129" s="32" t="s">
        <v>1311</v>
      </c>
      <c r="B129" s="20" t="s">
        <v>1312</v>
      </c>
      <c r="C129" s="20" t="s">
        <v>20</v>
      </c>
      <c r="D129" s="20" t="s">
        <v>45</v>
      </c>
      <c r="E129" s="20">
        <v>6</v>
      </c>
      <c r="F129" s="20" t="s">
        <v>1286</v>
      </c>
      <c r="G129" s="46">
        <v>35.500000000000526</v>
      </c>
      <c r="H129" s="41" t="s">
        <v>1472</v>
      </c>
      <c r="I129" s="44">
        <f>SUM(J129:AI129)</f>
        <v>70.002588235294098</v>
      </c>
      <c r="J129" s="33">
        <v>0.2829411764705882</v>
      </c>
      <c r="K129" s="33">
        <v>0.52258823529411758</v>
      </c>
      <c r="L129" s="33">
        <v>0.53105882352941169</v>
      </c>
      <c r="M129" s="43">
        <v>0</v>
      </c>
      <c r="N129" s="33">
        <v>0.13411764705882354</v>
      </c>
      <c r="O129" s="33">
        <v>14.357882352941177</v>
      </c>
      <c r="P129" s="33">
        <v>0.57023529411764695</v>
      </c>
      <c r="Q129" s="33">
        <v>3.177647058823529</v>
      </c>
      <c r="R129" s="33">
        <v>0.57423529411764695</v>
      </c>
      <c r="S129" s="33">
        <v>0.23635294117647057</v>
      </c>
      <c r="T129" s="33">
        <v>9.7744705882352925</v>
      </c>
      <c r="U129" s="33">
        <v>0</v>
      </c>
      <c r="V129" s="33">
        <v>2.5882352941176471E-2</v>
      </c>
      <c r="W129" s="33">
        <v>13.464823529411763</v>
      </c>
      <c r="X129" s="33">
        <v>0.89882352941176458</v>
      </c>
      <c r="Y129" s="33">
        <v>19.894470588235293</v>
      </c>
      <c r="Z129" s="33">
        <v>0.92976470588235294</v>
      </c>
      <c r="AA129" s="33">
        <v>0.37294117647058822</v>
      </c>
      <c r="AB129" s="33">
        <v>2.9741176470588235</v>
      </c>
      <c r="AC129" s="43">
        <v>0</v>
      </c>
      <c r="AD129" s="33">
        <v>0.36858823529411761</v>
      </c>
      <c r="AE129" s="21">
        <v>0.10423529411764705</v>
      </c>
      <c r="AF129" s="33">
        <v>0.10929411764705881</v>
      </c>
      <c r="AG129" s="33">
        <v>0.12376470588235293</v>
      </c>
      <c r="AH129" s="33">
        <v>1.8352941176470586E-2</v>
      </c>
      <c r="AI129" s="33">
        <v>0.55600000000000005</v>
      </c>
    </row>
    <row r="130" spans="1:35" x14ac:dyDescent="0.3">
      <c r="A130" s="32" t="s">
        <v>1337</v>
      </c>
      <c r="B130" s="20" t="s">
        <v>1338</v>
      </c>
      <c r="C130" s="20" t="s">
        <v>146</v>
      </c>
      <c r="D130" s="20" t="s">
        <v>167</v>
      </c>
      <c r="E130" s="20">
        <v>6</v>
      </c>
      <c r="F130" s="20" t="s">
        <v>1286</v>
      </c>
      <c r="G130" s="46">
        <v>18.000000000000238</v>
      </c>
      <c r="H130" s="41" t="s">
        <v>1472</v>
      </c>
      <c r="I130" s="44">
        <f>SUM(J130:AI130)</f>
        <v>37.206823529411757</v>
      </c>
      <c r="J130" s="33">
        <v>0.28447058823529409</v>
      </c>
      <c r="K130" s="33">
        <v>0.24164705882352938</v>
      </c>
      <c r="L130" s="33">
        <v>0.28388235294117642</v>
      </c>
      <c r="M130" s="43">
        <v>0</v>
      </c>
      <c r="N130" s="33">
        <v>0.1236470588235294</v>
      </c>
      <c r="O130" s="33">
        <v>7.1404705882352939</v>
      </c>
      <c r="P130" s="33">
        <v>0.10294117647058823</v>
      </c>
      <c r="Q130" s="33">
        <v>1.6363529411764703</v>
      </c>
      <c r="R130" s="33">
        <v>0.17188235294117646</v>
      </c>
      <c r="S130" s="33">
        <v>0.15070588235294116</v>
      </c>
      <c r="T130" s="33">
        <v>5.8332941176470579</v>
      </c>
      <c r="U130" s="33">
        <v>0</v>
      </c>
      <c r="V130" s="33">
        <v>0</v>
      </c>
      <c r="W130" s="33">
        <v>8.1798823529411759</v>
      </c>
      <c r="X130" s="33">
        <v>0.53635294117647048</v>
      </c>
      <c r="Y130" s="33">
        <v>9.6387058823529408</v>
      </c>
      <c r="Z130" s="33">
        <v>0.52482352941176458</v>
      </c>
      <c r="AA130" s="33">
        <v>0.17682352941176468</v>
      </c>
      <c r="AB130" s="33">
        <v>1.4938823529411764</v>
      </c>
      <c r="AC130" s="43">
        <v>0</v>
      </c>
      <c r="AD130" s="33">
        <v>0.2112941176470588</v>
      </c>
      <c r="AE130" s="21">
        <v>6.3411764705882348E-2</v>
      </c>
      <c r="AF130" s="33">
        <v>5.9058823529411761E-2</v>
      </c>
      <c r="AG130" s="33">
        <v>6.9176470588235284E-2</v>
      </c>
      <c r="AH130" s="33">
        <v>1.6941176470588234E-2</v>
      </c>
      <c r="AI130" s="33">
        <v>0.26717647058823529</v>
      </c>
    </row>
    <row r="131" spans="1:35" x14ac:dyDescent="0.3">
      <c r="A131" s="32" t="s">
        <v>1339</v>
      </c>
      <c r="B131" s="20" t="s">
        <v>1340</v>
      </c>
      <c r="C131" s="20" t="s">
        <v>146</v>
      </c>
      <c r="D131" s="20" t="s">
        <v>169</v>
      </c>
      <c r="E131" s="20">
        <v>6</v>
      </c>
      <c r="F131" s="20" t="s">
        <v>1286</v>
      </c>
      <c r="G131" s="46">
        <v>7.0000000000003393</v>
      </c>
      <c r="H131" s="41" t="s">
        <v>1472</v>
      </c>
      <c r="I131" s="44">
        <f>SUM(J131:AI131)</f>
        <v>197.42976470588238</v>
      </c>
      <c r="J131" s="33">
        <v>0.22247058823529409</v>
      </c>
      <c r="K131" s="33">
        <v>0.30905882352941177</v>
      </c>
      <c r="L131" s="33">
        <v>1.5102352941176471</v>
      </c>
      <c r="M131" s="43">
        <v>0</v>
      </c>
      <c r="N131" s="33">
        <v>0.63741176470588234</v>
      </c>
      <c r="O131" s="33">
        <v>38.756823529411761</v>
      </c>
      <c r="P131" s="33">
        <v>1.0577647058823529</v>
      </c>
      <c r="Q131" s="33">
        <v>5.7481176470588231</v>
      </c>
      <c r="R131" s="33">
        <v>2.9049411764705879</v>
      </c>
      <c r="S131" s="33">
        <v>0.85929411764705865</v>
      </c>
      <c r="T131" s="33">
        <v>25.744470588235288</v>
      </c>
      <c r="U131" s="33">
        <v>0</v>
      </c>
      <c r="V131" s="33">
        <v>0</v>
      </c>
      <c r="W131" s="33">
        <v>53.845882352941175</v>
      </c>
      <c r="X131" s="33">
        <v>3.579176470588235</v>
      </c>
      <c r="Y131" s="33">
        <v>47.94611764705882</v>
      </c>
      <c r="Z131" s="33">
        <v>1.4421176470588233</v>
      </c>
      <c r="AA131" s="33">
        <v>0.42352941176470582</v>
      </c>
      <c r="AB131" s="33">
        <v>9.4580000000000002</v>
      </c>
      <c r="AC131" s="43">
        <v>0</v>
      </c>
      <c r="AD131" s="33">
        <v>0.40694117647058825</v>
      </c>
      <c r="AE131" s="21">
        <v>0.17611764705882352</v>
      </c>
      <c r="AF131" s="33">
        <v>0.29682352941176465</v>
      </c>
      <c r="AG131" s="33">
        <v>0.14823529411764705</v>
      </c>
      <c r="AH131" s="33">
        <v>0.10752941176470587</v>
      </c>
      <c r="AI131" s="33">
        <v>1.848705882352941</v>
      </c>
    </row>
    <row r="132" spans="1:35" x14ac:dyDescent="0.3">
      <c r="A132" s="32" t="s">
        <v>1335</v>
      </c>
      <c r="B132" s="20" t="s">
        <v>1336</v>
      </c>
      <c r="C132" s="20" t="s">
        <v>146</v>
      </c>
      <c r="D132" s="20" t="s">
        <v>161</v>
      </c>
      <c r="E132" s="20">
        <v>6</v>
      </c>
      <c r="F132" s="20" t="s">
        <v>1286</v>
      </c>
      <c r="G132" s="46">
        <v>20.999999999999908</v>
      </c>
      <c r="H132" s="41" t="s">
        <v>1472</v>
      </c>
      <c r="I132" s="44">
        <f>SUM(J132:AI132)</f>
        <v>136.93952941176474</v>
      </c>
      <c r="J132" s="33">
        <v>0.34858823529411764</v>
      </c>
      <c r="K132" s="33">
        <v>0.83647058823529397</v>
      </c>
      <c r="L132" s="33">
        <v>2.0895294117647056</v>
      </c>
      <c r="M132" s="43">
        <v>0</v>
      </c>
      <c r="N132" s="33">
        <v>0.25294117647058817</v>
      </c>
      <c r="O132" s="33">
        <v>31.078823529411764</v>
      </c>
      <c r="P132" s="33">
        <v>0.3585882352941176</v>
      </c>
      <c r="Q132" s="33">
        <v>1.4243529411764704</v>
      </c>
      <c r="R132" s="33">
        <v>4.0921176470588225</v>
      </c>
      <c r="S132" s="33">
        <v>0.24905882352941175</v>
      </c>
      <c r="T132" s="33">
        <v>9.9176470588235279</v>
      </c>
      <c r="U132" s="33">
        <v>0</v>
      </c>
      <c r="V132" s="33">
        <v>0</v>
      </c>
      <c r="W132" s="33">
        <v>52.839176470588228</v>
      </c>
      <c r="X132" s="33">
        <v>2.3583529411764705</v>
      </c>
      <c r="Y132" s="33">
        <v>26.857882352941171</v>
      </c>
      <c r="Z132" s="33">
        <v>1.4084705882352939</v>
      </c>
      <c r="AA132" s="33">
        <v>0.45835294117647057</v>
      </c>
      <c r="AB132" s="33">
        <v>1.3837647058823528</v>
      </c>
      <c r="AC132" s="43">
        <v>0</v>
      </c>
      <c r="AD132" s="33">
        <v>0.38905882352941173</v>
      </c>
      <c r="AE132" s="21">
        <v>9.0705882352941164E-2</v>
      </c>
      <c r="AF132" s="33">
        <v>8.1058823529411766E-2</v>
      </c>
      <c r="AG132" s="33">
        <v>0.15435294117647058</v>
      </c>
      <c r="AH132" s="33">
        <v>1.341176470588235E-2</v>
      </c>
      <c r="AI132" s="33">
        <v>0.25682352941176467</v>
      </c>
    </row>
    <row r="133" spans="1:35" x14ac:dyDescent="0.3">
      <c r="A133" s="32" t="s">
        <v>1341</v>
      </c>
      <c r="B133" s="20" t="s">
        <v>1342</v>
      </c>
      <c r="C133" s="20" t="s">
        <v>146</v>
      </c>
      <c r="D133" s="20" t="s">
        <v>163</v>
      </c>
      <c r="E133" s="20">
        <v>6</v>
      </c>
      <c r="F133" s="20" t="s">
        <v>1286</v>
      </c>
      <c r="G133" s="46">
        <v>20.499999999999961</v>
      </c>
      <c r="H133" s="41" t="s">
        <v>1472</v>
      </c>
      <c r="I133" s="44">
        <f>SUM(J133:AI133)</f>
        <v>85.82</v>
      </c>
      <c r="J133" s="33">
        <v>0.22423529411764706</v>
      </c>
      <c r="K133" s="33">
        <v>0.26623529411764707</v>
      </c>
      <c r="L133" s="33">
        <v>0.74105882352941177</v>
      </c>
      <c r="M133" s="43">
        <v>0</v>
      </c>
      <c r="N133" s="33">
        <v>0.32494117647058818</v>
      </c>
      <c r="O133" s="33">
        <v>20.374705882352938</v>
      </c>
      <c r="P133" s="33">
        <v>5.4696470588235293</v>
      </c>
      <c r="Q133" s="33">
        <v>2.3905882352941172</v>
      </c>
      <c r="R133" s="33">
        <v>0.99835294117647055</v>
      </c>
      <c r="S133" s="33">
        <v>0.2751764705882353</v>
      </c>
      <c r="T133" s="33">
        <v>9.4542352941176464</v>
      </c>
      <c r="U133" s="33">
        <v>0</v>
      </c>
      <c r="V133" s="33">
        <v>0</v>
      </c>
      <c r="W133" s="33">
        <v>21.86470588235294</v>
      </c>
      <c r="X133" s="33">
        <v>1.3584705882352941</v>
      </c>
      <c r="Y133" s="33">
        <v>16.910470588235292</v>
      </c>
      <c r="Z133" s="33">
        <v>0.96082352941176474</v>
      </c>
      <c r="AA133" s="33">
        <v>0.80541176470588216</v>
      </c>
      <c r="AB133" s="33">
        <v>1.7935294117647058</v>
      </c>
      <c r="AC133" s="43">
        <v>0</v>
      </c>
      <c r="AD133" s="33">
        <v>0.64741176470588235</v>
      </c>
      <c r="AE133" s="21">
        <v>0.15705882352941175</v>
      </c>
      <c r="AF133" s="33">
        <v>0.11952941176470588</v>
      </c>
      <c r="AG133" s="33">
        <v>0.17658823529411763</v>
      </c>
      <c r="AH133" s="33">
        <v>4.6941176470588229E-2</v>
      </c>
      <c r="AI133" s="33">
        <v>0.45988235294117641</v>
      </c>
    </row>
    <row r="134" spans="1:35" x14ac:dyDescent="0.3">
      <c r="A134" s="32" t="s">
        <v>1343</v>
      </c>
      <c r="B134" s="20" t="s">
        <v>1344</v>
      </c>
      <c r="C134" s="20" t="s">
        <v>146</v>
      </c>
      <c r="D134" s="20" t="s">
        <v>165</v>
      </c>
      <c r="E134" s="20">
        <v>6</v>
      </c>
      <c r="F134" s="20" t="s">
        <v>1286</v>
      </c>
      <c r="G134" s="46">
        <v>24.000000000000686</v>
      </c>
      <c r="H134" s="41" t="s">
        <v>1472</v>
      </c>
      <c r="I134" s="44">
        <f>SUM(J134:AI134)</f>
        <v>33.693882352941166</v>
      </c>
      <c r="J134" s="33">
        <v>0.27305882352941174</v>
      </c>
      <c r="K134" s="33">
        <v>0.34964705882352937</v>
      </c>
      <c r="L134" s="33">
        <v>0.54047058823529415</v>
      </c>
      <c r="M134" s="43">
        <v>0</v>
      </c>
      <c r="N134" s="33">
        <v>0.55858823529411761</v>
      </c>
      <c r="O134" s="33">
        <v>7.5619999999999985</v>
      </c>
      <c r="P134" s="33">
        <v>0.12729411764705881</v>
      </c>
      <c r="Q134" s="33">
        <v>6.8441176470588232</v>
      </c>
      <c r="R134" s="33">
        <v>0.12152941176470589</v>
      </c>
      <c r="S134" s="33">
        <v>0.20235294117647057</v>
      </c>
      <c r="T134" s="33">
        <v>3.3629411764705881</v>
      </c>
      <c r="U134" s="33">
        <v>0</v>
      </c>
      <c r="V134" s="33">
        <v>0</v>
      </c>
      <c r="W134" s="33">
        <v>4.5450588235294118</v>
      </c>
      <c r="X134" s="33">
        <v>0.33458823529411763</v>
      </c>
      <c r="Y134" s="33">
        <v>6.8665882352941168</v>
      </c>
      <c r="Z134" s="33">
        <v>0.47176470588235286</v>
      </c>
      <c r="AA134" s="33">
        <v>0.25364705882352939</v>
      </c>
      <c r="AB134" s="33">
        <v>0.52647058823529402</v>
      </c>
      <c r="AC134" s="43">
        <v>0</v>
      </c>
      <c r="AD134" s="33">
        <v>0.32847058823529407</v>
      </c>
      <c r="AE134" s="21">
        <v>8.8588235294117648E-2</v>
      </c>
      <c r="AF134" s="33">
        <v>2.7882352941176469E-2</v>
      </c>
      <c r="AG134" s="33">
        <v>0.10235294117647058</v>
      </c>
      <c r="AH134" s="33">
        <v>1.7176470588235293E-2</v>
      </c>
      <c r="AI134" s="33">
        <v>0.18929411764705881</v>
      </c>
    </row>
    <row r="135" spans="1:35" x14ac:dyDescent="0.3">
      <c r="A135" s="32" t="s">
        <v>1373</v>
      </c>
      <c r="B135" s="20" t="s">
        <v>1374</v>
      </c>
      <c r="C135" s="20" t="s">
        <v>261</v>
      </c>
      <c r="D135" s="20" t="s">
        <v>284</v>
      </c>
      <c r="E135" s="20">
        <v>6</v>
      </c>
      <c r="F135" s="20" t="s">
        <v>1286</v>
      </c>
      <c r="G135" s="46">
        <v>4.5000000000006146</v>
      </c>
      <c r="H135" s="41" t="s">
        <v>1472</v>
      </c>
      <c r="I135" s="44">
        <f>SUM(J135:AI135)</f>
        <v>57.645058823529403</v>
      </c>
      <c r="J135" s="33">
        <v>0.28211764705882353</v>
      </c>
      <c r="K135" s="33">
        <v>0.41164705882352937</v>
      </c>
      <c r="L135" s="33">
        <v>0.91670588235294115</v>
      </c>
      <c r="M135" s="43">
        <v>0</v>
      </c>
      <c r="N135" s="33">
        <v>0.31670588235294117</v>
      </c>
      <c r="O135" s="33">
        <v>14.695882352941176</v>
      </c>
      <c r="P135" s="33">
        <v>6.6352941176470587E-2</v>
      </c>
      <c r="Q135" s="33">
        <v>1.5312941176470587</v>
      </c>
      <c r="R135" s="33">
        <v>1.5468235294117647</v>
      </c>
      <c r="S135" s="33">
        <v>0.20399999999999999</v>
      </c>
      <c r="T135" s="33">
        <v>4.7567058823529411</v>
      </c>
      <c r="U135" s="33">
        <v>0</v>
      </c>
      <c r="V135" s="33">
        <v>0</v>
      </c>
      <c r="W135" s="33">
        <v>12.442235294117646</v>
      </c>
      <c r="X135" s="33">
        <v>1.0482352941176469</v>
      </c>
      <c r="Y135" s="33">
        <v>17.061999999999998</v>
      </c>
      <c r="Z135" s="33">
        <v>0.99752941176470589</v>
      </c>
      <c r="AA135" s="33">
        <v>0.19647058823529409</v>
      </c>
      <c r="AB135" s="33">
        <v>0.59799999999999998</v>
      </c>
      <c r="AC135" s="43">
        <v>0</v>
      </c>
      <c r="AD135" s="33">
        <v>0.23952941176470585</v>
      </c>
      <c r="AE135" s="21">
        <v>7.4705882352941164E-2</v>
      </c>
      <c r="AF135" s="33">
        <v>4.5999999999999999E-2</v>
      </c>
      <c r="AG135" s="33">
        <v>6.0470588235294109E-2</v>
      </c>
      <c r="AH135" s="33">
        <v>1.2705882352941176E-2</v>
      </c>
      <c r="AI135" s="33">
        <v>0.13894117647058821</v>
      </c>
    </row>
    <row r="136" spans="1:35" x14ac:dyDescent="0.3">
      <c r="A136" s="32" t="s">
        <v>1375</v>
      </c>
      <c r="B136" s="20" t="s">
        <v>1376</v>
      </c>
      <c r="C136" s="20" t="s">
        <v>261</v>
      </c>
      <c r="D136" s="20" t="s">
        <v>286</v>
      </c>
      <c r="E136" s="20">
        <v>6</v>
      </c>
      <c r="F136" s="20" t="s">
        <v>1286</v>
      </c>
      <c r="G136" s="46">
        <v>14.000000000000679</v>
      </c>
      <c r="H136" s="41" t="s">
        <v>1472</v>
      </c>
      <c r="I136" s="44">
        <f>SUM(J136:AI136)</f>
        <v>48.342941176470589</v>
      </c>
      <c r="J136" s="33">
        <v>0.25729411764705878</v>
      </c>
      <c r="K136" s="33">
        <v>0.46964705882352936</v>
      </c>
      <c r="L136" s="33">
        <v>0.48647058823529404</v>
      </c>
      <c r="M136" s="43">
        <v>0</v>
      </c>
      <c r="N136" s="33">
        <v>0.18752941176470586</v>
      </c>
      <c r="O136" s="33">
        <v>10.468823529411765</v>
      </c>
      <c r="P136" s="33">
        <v>0.16035294117647056</v>
      </c>
      <c r="Q136" s="33">
        <v>4.0377647058823527</v>
      </c>
      <c r="R136" s="33">
        <v>0.19011764705882353</v>
      </c>
      <c r="S136" s="33">
        <v>0.14470588235294116</v>
      </c>
      <c r="T136" s="33">
        <v>4.6741176470588233</v>
      </c>
      <c r="U136" s="33">
        <v>0</v>
      </c>
      <c r="V136" s="33">
        <v>0</v>
      </c>
      <c r="W136" s="33">
        <v>9.3942352941176477</v>
      </c>
      <c r="X136" s="33">
        <v>0.59094117647058819</v>
      </c>
      <c r="Y136" s="33">
        <v>14.920470588235293</v>
      </c>
      <c r="Z136" s="33">
        <v>0.94729411764705873</v>
      </c>
      <c r="AA136" s="33">
        <v>0.22164705882352939</v>
      </c>
      <c r="AB136" s="33">
        <v>0.63988235294117646</v>
      </c>
      <c r="AC136" s="43">
        <v>0</v>
      </c>
      <c r="AD136" s="33">
        <v>0.23941176470588232</v>
      </c>
      <c r="AE136" s="21">
        <v>8.0823529411764697E-2</v>
      </c>
      <c r="AF136" s="33">
        <v>4.058823529411764E-2</v>
      </c>
      <c r="AG136" s="33">
        <v>5.9529411764705879E-2</v>
      </c>
      <c r="AH136" s="33">
        <v>0</v>
      </c>
      <c r="AI136" s="33">
        <v>0.13129411764705881</v>
      </c>
    </row>
    <row r="137" spans="1:35" x14ac:dyDescent="0.3">
      <c r="A137" s="32" t="s">
        <v>1367</v>
      </c>
      <c r="B137" s="20" t="s">
        <v>1368</v>
      </c>
      <c r="C137" s="20" t="s">
        <v>261</v>
      </c>
      <c r="D137" s="20" t="s">
        <v>290</v>
      </c>
      <c r="E137" s="20">
        <v>6</v>
      </c>
      <c r="F137" s="20" t="s">
        <v>1286</v>
      </c>
      <c r="G137" s="46">
        <v>13.999999999999568</v>
      </c>
      <c r="H137" s="41" t="s">
        <v>1472</v>
      </c>
      <c r="I137" s="44">
        <f>SUM(J137:AI137)</f>
        <v>70.734705882352955</v>
      </c>
      <c r="J137" s="33">
        <v>0.26976470588235291</v>
      </c>
      <c r="K137" s="33">
        <v>0.4341176470588235</v>
      </c>
      <c r="L137" s="33">
        <v>0.67352941176470582</v>
      </c>
      <c r="M137" s="43">
        <v>0</v>
      </c>
      <c r="N137" s="33">
        <v>0.19376470588235292</v>
      </c>
      <c r="O137" s="33">
        <v>15.041529411764705</v>
      </c>
      <c r="P137" s="33">
        <v>0.17058823529411765</v>
      </c>
      <c r="Q137" s="33">
        <v>7.6310588235294112</v>
      </c>
      <c r="R137" s="33">
        <v>0.78529411764705881</v>
      </c>
      <c r="S137" s="33">
        <v>0.29682352941176465</v>
      </c>
      <c r="T137" s="33">
        <v>10.190941176470588</v>
      </c>
      <c r="U137" s="33">
        <v>3.0588235294117642E-2</v>
      </c>
      <c r="V137" s="33">
        <v>6.7058823529411768E-2</v>
      </c>
      <c r="W137" s="33">
        <v>11.906117647058821</v>
      </c>
      <c r="X137" s="33">
        <v>0.996470588235294</v>
      </c>
      <c r="Y137" s="33">
        <v>16.349529411764706</v>
      </c>
      <c r="Z137" s="33">
        <v>0.67423529411764704</v>
      </c>
      <c r="AA137" s="33">
        <v>0.20894117647058824</v>
      </c>
      <c r="AB137" s="33">
        <v>3.4891764705882351</v>
      </c>
      <c r="AC137" s="43">
        <v>0</v>
      </c>
      <c r="AD137" s="33">
        <v>0.23211764705882351</v>
      </c>
      <c r="AE137" s="21">
        <v>6.6352941176470587E-2</v>
      </c>
      <c r="AF137" s="33">
        <v>0.1628235294117647</v>
      </c>
      <c r="AG137" s="33">
        <v>0.1076470588235294</v>
      </c>
      <c r="AH137" s="33">
        <v>4.48235294117647E-2</v>
      </c>
      <c r="AI137" s="33">
        <v>0.7114117647058823</v>
      </c>
    </row>
    <row r="138" spans="1:35" x14ac:dyDescent="0.3">
      <c r="A138" s="32" t="s">
        <v>1369</v>
      </c>
      <c r="B138" s="20" t="s">
        <v>1370</v>
      </c>
      <c r="C138" s="20" t="s">
        <v>261</v>
      </c>
      <c r="D138" s="20" t="s">
        <v>292</v>
      </c>
      <c r="E138" s="20">
        <v>6</v>
      </c>
      <c r="F138" s="20" t="s">
        <v>1286</v>
      </c>
      <c r="G138" s="46">
        <v>8.0000000000002292</v>
      </c>
      <c r="H138" s="41" t="s">
        <v>1472</v>
      </c>
      <c r="I138" s="44">
        <f>SUM(J138:AI138)</f>
        <v>139.55447058823523</v>
      </c>
      <c r="J138" s="33">
        <v>0.35435294117647059</v>
      </c>
      <c r="K138" s="33">
        <v>0.59823529411764698</v>
      </c>
      <c r="L138" s="33">
        <v>1.796470588235294</v>
      </c>
      <c r="M138" s="43">
        <v>0</v>
      </c>
      <c r="N138" s="33">
        <v>0.33811764705882352</v>
      </c>
      <c r="O138" s="33">
        <v>31.790705882352938</v>
      </c>
      <c r="P138" s="33">
        <v>1.3379999999999999</v>
      </c>
      <c r="Q138" s="33">
        <v>17.620823529411762</v>
      </c>
      <c r="R138" s="33">
        <v>3.1292941176470586</v>
      </c>
      <c r="S138" s="33">
        <v>0.32917647058823529</v>
      </c>
      <c r="T138" s="33">
        <v>12.991882352941174</v>
      </c>
      <c r="U138" s="33">
        <v>4.858823529411764E-2</v>
      </c>
      <c r="V138" s="33">
        <v>8.2235294117647045E-2</v>
      </c>
      <c r="W138" s="33">
        <v>38.12447058823529</v>
      </c>
      <c r="X138" s="33">
        <v>2.0078823529411762</v>
      </c>
      <c r="Y138" s="33">
        <v>22.345882352941175</v>
      </c>
      <c r="Z138" s="33">
        <v>0.878</v>
      </c>
      <c r="AA138" s="33">
        <v>0.4031764705882353</v>
      </c>
      <c r="AB138" s="33">
        <v>3.7037647058823526</v>
      </c>
      <c r="AC138" s="43">
        <v>0</v>
      </c>
      <c r="AD138" s="33">
        <v>0.31164705882352939</v>
      </c>
      <c r="AE138" s="21">
        <v>8.3647058823529408E-2</v>
      </c>
      <c r="AF138" s="33">
        <v>0.1552941176470588</v>
      </c>
      <c r="AG138" s="33">
        <v>9.6823529411764697E-2</v>
      </c>
      <c r="AH138" s="33">
        <v>6.3411764705882348E-2</v>
      </c>
      <c r="AI138" s="33">
        <v>0.96258823529411763</v>
      </c>
    </row>
    <row r="139" spans="1:35" x14ac:dyDescent="0.3">
      <c r="A139" s="32" t="s">
        <v>1371</v>
      </c>
      <c r="B139" s="20" t="s">
        <v>1372</v>
      </c>
      <c r="C139" s="20" t="s">
        <v>261</v>
      </c>
      <c r="D139" s="20" t="s">
        <v>288</v>
      </c>
      <c r="E139" s="20">
        <v>6</v>
      </c>
      <c r="F139" s="20" t="s">
        <v>1286</v>
      </c>
      <c r="G139" s="46">
        <v>6.5000000000003944</v>
      </c>
      <c r="H139" s="41" t="s">
        <v>1472</v>
      </c>
      <c r="I139" s="44">
        <f>SUM(J139:AI139)</f>
        <v>302.50082352941178</v>
      </c>
      <c r="J139" s="33">
        <v>0.34011764705882352</v>
      </c>
      <c r="K139" s="33">
        <v>0.5914117647058823</v>
      </c>
      <c r="L139" s="33">
        <v>1.3492941176470588</v>
      </c>
      <c r="M139" s="43">
        <v>0</v>
      </c>
      <c r="N139" s="33">
        <v>0.61705882352941166</v>
      </c>
      <c r="O139" s="33">
        <v>54.221294117647055</v>
      </c>
      <c r="P139" s="33">
        <v>7.5181176470588236</v>
      </c>
      <c r="Q139" s="33">
        <v>15.452117647058824</v>
      </c>
      <c r="R139" s="33">
        <v>3.008</v>
      </c>
      <c r="S139" s="33">
        <v>0.56388235294117639</v>
      </c>
      <c r="T139" s="33">
        <v>21.853999999999999</v>
      </c>
      <c r="U139" s="33">
        <v>9.2941176470588235E-2</v>
      </c>
      <c r="V139" s="33">
        <v>0.10082352941176469</v>
      </c>
      <c r="W139" s="33">
        <v>144.59729411764704</v>
      </c>
      <c r="X139" s="33">
        <v>5.62</v>
      </c>
      <c r="Y139" s="33">
        <v>34.18847058823529</v>
      </c>
      <c r="Z139" s="33">
        <v>1.5488235294117645</v>
      </c>
      <c r="AA139" s="33">
        <v>0.96576470588235286</v>
      </c>
      <c r="AB139" s="33">
        <v>7.0472941176470583</v>
      </c>
      <c r="AC139" s="43">
        <v>0</v>
      </c>
      <c r="AD139" s="33">
        <v>0.44882352941176473</v>
      </c>
      <c r="AE139" s="21">
        <v>0.13258823529411765</v>
      </c>
      <c r="AF139" s="33">
        <v>0.22329411764705881</v>
      </c>
      <c r="AG139" s="33">
        <v>8.7882352941176467E-2</v>
      </c>
      <c r="AH139" s="33">
        <v>7.7294117647058819E-2</v>
      </c>
      <c r="AI139" s="33">
        <v>1.854235294117647</v>
      </c>
    </row>
    <row r="140" spans="1:35" x14ac:dyDescent="0.3">
      <c r="A140" s="32" t="s">
        <v>1377</v>
      </c>
      <c r="B140" s="20" t="s">
        <v>1378</v>
      </c>
      <c r="C140" s="20" t="s">
        <v>20</v>
      </c>
      <c r="D140" s="20" t="s">
        <v>21</v>
      </c>
      <c r="E140" s="20">
        <v>0</v>
      </c>
      <c r="F140" s="20" t="s">
        <v>1379</v>
      </c>
      <c r="G140" s="46">
        <v>68.000000000000284</v>
      </c>
      <c r="H140" s="41" t="s">
        <v>1472</v>
      </c>
      <c r="I140" s="44">
        <f>SUM(J140:AI140)</f>
        <v>57.676823529411763</v>
      </c>
      <c r="J140" s="33">
        <v>0.38823529411764707</v>
      </c>
      <c r="K140" s="33">
        <v>0.39494117647058824</v>
      </c>
      <c r="L140" s="33">
        <v>0.60270588235294109</v>
      </c>
      <c r="M140" s="43">
        <v>0</v>
      </c>
      <c r="N140" s="33">
        <v>0.2132941176470588</v>
      </c>
      <c r="O140" s="33">
        <v>15.010588235294117</v>
      </c>
      <c r="P140" s="33">
        <v>0</v>
      </c>
      <c r="Q140" s="33">
        <v>0</v>
      </c>
      <c r="R140" s="33">
        <v>0.42623529411764699</v>
      </c>
      <c r="S140" s="33">
        <v>0.3332941176470588</v>
      </c>
      <c r="T140" s="33">
        <v>8.9584705882352935</v>
      </c>
      <c r="U140" s="33">
        <v>0</v>
      </c>
      <c r="V140" s="33">
        <v>0</v>
      </c>
      <c r="W140" s="33">
        <v>5.4823529411764707</v>
      </c>
      <c r="X140" s="33">
        <v>0.72258823529411764</v>
      </c>
      <c r="Y140" s="33">
        <v>17.440941176470588</v>
      </c>
      <c r="Z140" s="33">
        <v>0.55576470588235283</v>
      </c>
      <c r="AA140" s="33">
        <v>1.0042352941176471</v>
      </c>
      <c r="AB140" s="33">
        <v>4.0682352941176463</v>
      </c>
      <c r="AC140" s="43">
        <v>0</v>
      </c>
      <c r="AD140" s="33">
        <v>0.59788235294117642</v>
      </c>
      <c r="AE140" s="21">
        <v>0.17611764705882352</v>
      </c>
      <c r="AF140" s="33">
        <v>5.8000000000000003E-2</v>
      </c>
      <c r="AG140" s="33">
        <v>0.3530588235294117</v>
      </c>
      <c r="AH140" s="33">
        <v>3.6352941176470581E-2</v>
      </c>
      <c r="AI140" s="33">
        <v>0.85352941176470587</v>
      </c>
    </row>
    <row r="141" spans="1:35" x14ac:dyDescent="0.3">
      <c r="A141" s="32" t="s">
        <v>1408</v>
      </c>
      <c r="B141" s="20" t="s">
        <v>1409</v>
      </c>
      <c r="C141" s="20" t="s">
        <v>146</v>
      </c>
      <c r="D141" s="20" t="s">
        <v>141</v>
      </c>
      <c r="E141" s="20">
        <v>0</v>
      </c>
      <c r="F141" s="20" t="s">
        <v>1379</v>
      </c>
      <c r="G141" s="46">
        <v>47.999999999999154</v>
      </c>
      <c r="H141" s="41" t="s">
        <v>1472</v>
      </c>
      <c r="I141" s="44">
        <f>SUM(J141:AI141)</f>
        <v>34.58517647058823</v>
      </c>
      <c r="J141" s="33">
        <v>0.26188235294117646</v>
      </c>
      <c r="K141" s="33">
        <v>0.29364705882352937</v>
      </c>
      <c r="L141" s="33">
        <v>0.47458823529411764</v>
      </c>
      <c r="M141" s="43">
        <v>0</v>
      </c>
      <c r="N141" s="33">
        <v>0.21423529411764705</v>
      </c>
      <c r="O141" s="33">
        <v>8.6084705882352939</v>
      </c>
      <c r="P141" s="33">
        <v>0</v>
      </c>
      <c r="Q141" s="33">
        <v>0</v>
      </c>
      <c r="R141" s="33">
        <v>0.22682352941176467</v>
      </c>
      <c r="S141" s="33">
        <v>0.17399999999999999</v>
      </c>
      <c r="T141" s="33">
        <v>3.7123529411764702</v>
      </c>
      <c r="U141" s="33">
        <v>0</v>
      </c>
      <c r="V141" s="33">
        <v>0</v>
      </c>
      <c r="W141" s="33">
        <v>5.0772941176470585</v>
      </c>
      <c r="X141" s="33">
        <v>0.53376470588235292</v>
      </c>
      <c r="Y141" s="33">
        <v>11.909529411764705</v>
      </c>
      <c r="Z141" s="33">
        <v>0.78105882352941181</v>
      </c>
      <c r="AA141" s="33">
        <v>0.24835294117647058</v>
      </c>
      <c r="AB141" s="33">
        <v>1.0869411764705881</v>
      </c>
      <c r="AC141" s="43">
        <v>0</v>
      </c>
      <c r="AD141" s="33">
        <v>0.26976470588235291</v>
      </c>
      <c r="AE141" s="21">
        <v>6.4705882352941169E-2</v>
      </c>
      <c r="AF141" s="33">
        <v>4.8235294117647057E-2</v>
      </c>
      <c r="AG141" s="33">
        <v>0.3761176470588235</v>
      </c>
      <c r="AH141" s="33">
        <v>1.8705882352941176E-2</v>
      </c>
      <c r="AI141" s="33">
        <v>0.20470588235294115</v>
      </c>
    </row>
    <row r="142" spans="1:35" x14ac:dyDescent="0.3">
      <c r="A142" s="32" t="s">
        <v>1438</v>
      </c>
      <c r="B142" s="20" t="s">
        <v>1439</v>
      </c>
      <c r="C142" s="20" t="s">
        <v>261</v>
      </c>
      <c r="D142" s="20" t="s">
        <v>262</v>
      </c>
      <c r="E142" s="20">
        <v>0</v>
      </c>
      <c r="F142" s="20" t="s">
        <v>1379</v>
      </c>
      <c r="G142" s="46">
        <v>2.9999999999996696</v>
      </c>
      <c r="H142" s="41" t="s">
        <v>1472</v>
      </c>
      <c r="I142" s="44">
        <f>SUM(J142:AI142)</f>
        <v>189.65694117647053</v>
      </c>
      <c r="J142" s="33">
        <v>0.23070588235294115</v>
      </c>
      <c r="K142" s="33">
        <v>0.50376470588235289</v>
      </c>
      <c r="L142" s="33">
        <v>1.19</v>
      </c>
      <c r="M142" s="43">
        <v>0</v>
      </c>
      <c r="N142" s="33">
        <v>0.35611764705882348</v>
      </c>
      <c r="O142" s="33">
        <v>65.458117647058813</v>
      </c>
      <c r="P142" s="33">
        <v>0</v>
      </c>
      <c r="Q142" s="33">
        <v>0</v>
      </c>
      <c r="R142" s="33">
        <v>3.99635294117647</v>
      </c>
      <c r="S142" s="33">
        <v>0.54094117647058815</v>
      </c>
      <c r="T142" s="33">
        <v>24.157294117647059</v>
      </c>
      <c r="U142" s="33">
        <v>0</v>
      </c>
      <c r="V142" s="33">
        <v>0</v>
      </c>
      <c r="W142" s="33">
        <v>18.207529411764703</v>
      </c>
      <c r="X142" s="33">
        <v>3.4650588235294117</v>
      </c>
      <c r="Y142" s="33">
        <v>48.928705882352943</v>
      </c>
      <c r="Z142" s="33">
        <v>0.79494117647058826</v>
      </c>
      <c r="AA142" s="33">
        <v>0.28929411764705881</v>
      </c>
      <c r="AB142" s="33">
        <v>17.173764705882352</v>
      </c>
      <c r="AC142" s="43">
        <v>0</v>
      </c>
      <c r="AD142" s="33">
        <v>0.19435294117647056</v>
      </c>
      <c r="AE142" s="21">
        <v>6.6941176470588226E-2</v>
      </c>
      <c r="AF142" s="33">
        <v>0.16164705882352939</v>
      </c>
      <c r="AG142" s="33">
        <v>6.6352941176470587E-2</v>
      </c>
      <c r="AH142" s="33">
        <v>0.1376470588235294</v>
      </c>
      <c r="AI142" s="33">
        <v>3.7374117647058824</v>
      </c>
    </row>
    <row r="143" spans="1:35" x14ac:dyDescent="0.3">
      <c r="A143" s="32" t="s">
        <v>1386</v>
      </c>
      <c r="B143" s="20" t="s">
        <v>1387</v>
      </c>
      <c r="C143" s="20" t="s">
        <v>20</v>
      </c>
      <c r="D143" s="20" t="s">
        <v>23</v>
      </c>
      <c r="E143" s="20">
        <v>1</v>
      </c>
      <c r="F143" s="20" t="s">
        <v>1379</v>
      </c>
      <c r="G143" s="46">
        <v>49.500000000000099</v>
      </c>
      <c r="H143" s="41" t="s">
        <v>1472</v>
      </c>
      <c r="I143" s="44">
        <f>SUM(J143:AI143)</f>
        <v>286.33388235294109</v>
      </c>
      <c r="J143" s="33">
        <v>0.22294117647058823</v>
      </c>
      <c r="K143" s="33">
        <v>0.47423529411764698</v>
      </c>
      <c r="L143" s="33">
        <v>0.37799999999999995</v>
      </c>
      <c r="M143" s="43">
        <v>0</v>
      </c>
      <c r="N143" s="33">
        <v>0.16399999999999998</v>
      </c>
      <c r="O143" s="33">
        <v>69.892823529411757</v>
      </c>
      <c r="P143" s="33">
        <v>31.437882352941173</v>
      </c>
      <c r="Q143" s="33">
        <v>16.947294117647058</v>
      </c>
      <c r="R143" s="33">
        <v>1.0089411764705882</v>
      </c>
      <c r="S143" s="33">
        <v>0.54152941176470581</v>
      </c>
      <c r="T143" s="33">
        <v>26.882588235294115</v>
      </c>
      <c r="U143" s="33">
        <v>0</v>
      </c>
      <c r="V143" s="33">
        <v>0</v>
      </c>
      <c r="W143" s="33">
        <v>101.57364705882352</v>
      </c>
      <c r="X143" s="33">
        <v>4.2088235294117649</v>
      </c>
      <c r="Y143" s="33">
        <v>22.048823529411763</v>
      </c>
      <c r="Z143" s="33">
        <v>1.0177647058823529</v>
      </c>
      <c r="AA143" s="33">
        <v>3.5294117647058818</v>
      </c>
      <c r="AB143" s="33">
        <v>3.4149411764705877</v>
      </c>
      <c r="AC143" s="43">
        <v>0</v>
      </c>
      <c r="AD143" s="33">
        <v>1.2652941176470589</v>
      </c>
      <c r="AE143" s="21">
        <v>0.24388235294117644</v>
      </c>
      <c r="AF143" s="33">
        <v>7.223529411764705E-2</v>
      </c>
      <c r="AG143" s="33">
        <v>0.12082352941176469</v>
      </c>
      <c r="AH143" s="33">
        <v>5.3294117647058818E-2</v>
      </c>
      <c r="AI143" s="33">
        <v>0.83470588235294108</v>
      </c>
    </row>
    <row r="144" spans="1:35" x14ac:dyDescent="0.3">
      <c r="A144" s="32" t="s">
        <v>1388</v>
      </c>
      <c r="B144" s="20" t="s">
        <v>1389</v>
      </c>
      <c r="C144" s="20" t="s">
        <v>20</v>
      </c>
      <c r="D144" s="20" t="s">
        <v>25</v>
      </c>
      <c r="E144" s="20">
        <v>1</v>
      </c>
      <c r="F144" s="20" t="s">
        <v>1379</v>
      </c>
      <c r="G144" s="46">
        <v>68.000000000000284</v>
      </c>
      <c r="H144" s="41" t="s">
        <v>1472</v>
      </c>
      <c r="I144" s="44">
        <f>SUM(J144:AI144)</f>
        <v>801.13894117647055</v>
      </c>
      <c r="J144" s="33">
        <v>0.19752941176470587</v>
      </c>
      <c r="K144" s="33">
        <v>0.25235294117647056</v>
      </c>
      <c r="L144" s="33">
        <v>0.56494117647058817</v>
      </c>
      <c r="M144" s="43">
        <v>0</v>
      </c>
      <c r="N144" s="33">
        <v>0.40364705882352936</v>
      </c>
      <c r="O144" s="33">
        <v>133.03729411764706</v>
      </c>
      <c r="P144" s="33">
        <v>40.827176470588235</v>
      </c>
      <c r="Q144" s="33">
        <v>30.574823529411763</v>
      </c>
      <c r="R144" s="33">
        <v>5.1741176470588233</v>
      </c>
      <c r="S144" s="33">
        <v>1.353764705882353</v>
      </c>
      <c r="T144" s="33">
        <v>53.713411764705882</v>
      </c>
      <c r="U144" s="33">
        <v>0</v>
      </c>
      <c r="V144" s="33">
        <v>0</v>
      </c>
      <c r="W144" s="33">
        <v>413.73741176470583</v>
      </c>
      <c r="X144" s="33">
        <v>15.276823529411763</v>
      </c>
      <c r="Y144" s="33">
        <v>77.523647058823514</v>
      </c>
      <c r="Z144" s="33">
        <v>4.0982352941176465</v>
      </c>
      <c r="AA144" s="33">
        <v>4.262941176470588</v>
      </c>
      <c r="AB144" s="33">
        <v>14.985882352941175</v>
      </c>
      <c r="AC144" s="43">
        <v>0</v>
      </c>
      <c r="AD144" s="33">
        <v>1.332235294117647</v>
      </c>
      <c r="AE144" s="21">
        <v>0.25952941176470584</v>
      </c>
      <c r="AF144" s="33">
        <v>0.28682352941176464</v>
      </c>
      <c r="AG144" s="33">
        <v>0.10705882352941176</v>
      </c>
      <c r="AH144" s="33">
        <v>0.16776470588235293</v>
      </c>
      <c r="AI144" s="33">
        <v>3.001529411764706</v>
      </c>
    </row>
    <row r="145" spans="1:35" x14ac:dyDescent="0.3">
      <c r="A145" s="32" t="s">
        <v>1380</v>
      </c>
      <c r="B145" s="20" t="s">
        <v>1381</v>
      </c>
      <c r="C145" s="20" t="s">
        <v>20</v>
      </c>
      <c r="D145" s="20" t="s">
        <v>27</v>
      </c>
      <c r="E145" s="20">
        <v>1</v>
      </c>
      <c r="F145" s="20" t="s">
        <v>1379</v>
      </c>
      <c r="G145" s="46">
        <v>131.49999999999994</v>
      </c>
      <c r="H145" s="41" t="s">
        <v>1472</v>
      </c>
      <c r="I145" s="44">
        <f>SUM(J145:AI145)</f>
        <v>238.61788235294117</v>
      </c>
      <c r="J145" s="33">
        <v>0.21317647058823527</v>
      </c>
      <c r="K145" s="33">
        <v>0.63270588235294112</v>
      </c>
      <c r="L145" s="33">
        <v>0.37682352941176472</v>
      </c>
      <c r="M145" s="43">
        <v>0</v>
      </c>
      <c r="N145" s="33">
        <v>0.10905882352941176</v>
      </c>
      <c r="O145" s="33">
        <v>35.550235294117648</v>
      </c>
      <c r="P145" s="33">
        <v>8.5948235294117641</v>
      </c>
      <c r="Q145" s="33">
        <v>8.291882352941176</v>
      </c>
      <c r="R145" s="33">
        <v>1.2872941176470587</v>
      </c>
      <c r="S145" s="33">
        <v>0.33894117647058819</v>
      </c>
      <c r="T145" s="33">
        <v>15.518117647058823</v>
      </c>
      <c r="U145" s="33">
        <v>0</v>
      </c>
      <c r="V145" s="33">
        <v>0</v>
      </c>
      <c r="W145" s="33">
        <v>131.58388235294117</v>
      </c>
      <c r="X145" s="33">
        <v>4.7765882352941169</v>
      </c>
      <c r="Y145" s="33">
        <v>24.264235294117647</v>
      </c>
      <c r="Z145" s="33">
        <v>1.1732941176470588</v>
      </c>
      <c r="AA145" s="33">
        <v>1.120705882352941</v>
      </c>
      <c r="AB145" s="33">
        <v>3.4918823529411762</v>
      </c>
      <c r="AC145" s="43">
        <v>0</v>
      </c>
      <c r="AD145" s="33">
        <v>0.34658823529411764</v>
      </c>
      <c r="AE145" s="21">
        <v>7.9764705882352932E-2</v>
      </c>
      <c r="AF145" s="33">
        <v>5.1882352941176463E-2</v>
      </c>
      <c r="AG145" s="33">
        <v>4.1176470588235294E-2</v>
      </c>
      <c r="AH145" s="33">
        <v>2.6823529411764701E-2</v>
      </c>
      <c r="AI145" s="33">
        <v>0.74799999999999989</v>
      </c>
    </row>
    <row r="146" spans="1:35" x14ac:dyDescent="0.3">
      <c r="A146" s="32" t="s">
        <v>1382</v>
      </c>
      <c r="B146" s="20" t="s">
        <v>1383</v>
      </c>
      <c r="C146" s="20" t="s">
        <v>20</v>
      </c>
      <c r="D146" s="20" t="s">
        <v>29</v>
      </c>
      <c r="E146" s="20">
        <v>1</v>
      </c>
      <c r="F146" s="20" t="s">
        <v>1379</v>
      </c>
      <c r="G146" s="46">
        <v>52.999999999999709</v>
      </c>
      <c r="H146" s="41" t="s">
        <v>1472</v>
      </c>
      <c r="I146" s="44">
        <f>SUM(J146:AI146)</f>
        <v>928.17976470588223</v>
      </c>
      <c r="J146" s="33">
        <v>0.18894117647058822</v>
      </c>
      <c r="K146" s="33">
        <v>0.54705882352941171</v>
      </c>
      <c r="L146" s="33">
        <v>0.46858823529411758</v>
      </c>
      <c r="M146" s="43">
        <v>0</v>
      </c>
      <c r="N146" s="33">
        <v>0.19176470588235292</v>
      </c>
      <c r="O146" s="33">
        <v>159.08599999999998</v>
      </c>
      <c r="P146" s="33">
        <v>54.430352941176466</v>
      </c>
      <c r="Q146" s="33">
        <v>39.262</v>
      </c>
      <c r="R146" s="33">
        <v>5.3628235294117648</v>
      </c>
      <c r="S146" s="33">
        <v>0.82635294117647051</v>
      </c>
      <c r="T146" s="33">
        <v>47.543647058823531</v>
      </c>
      <c r="U146" s="33">
        <v>0</v>
      </c>
      <c r="V146" s="33">
        <v>0</v>
      </c>
      <c r="W146" s="33">
        <v>518.55047058823527</v>
      </c>
      <c r="X146" s="33">
        <v>18.70470588235294</v>
      </c>
      <c r="Y146" s="33">
        <v>64.401764705882343</v>
      </c>
      <c r="Z146" s="33">
        <v>4.9421176470588231</v>
      </c>
      <c r="AA146" s="33">
        <v>5.5645882352941172</v>
      </c>
      <c r="AB146" s="33">
        <v>4.9331764705882355</v>
      </c>
      <c r="AC146" s="43">
        <v>0</v>
      </c>
      <c r="AD146" s="33">
        <v>1.5054117647058822</v>
      </c>
      <c r="AE146" s="21">
        <v>0.246</v>
      </c>
      <c r="AF146" s="33">
        <v>0.10623529411764705</v>
      </c>
      <c r="AG146" s="33">
        <v>8.3647058823529408E-2</v>
      </c>
      <c r="AH146" s="33">
        <v>5.1294117647058823E-2</v>
      </c>
      <c r="AI146" s="33">
        <v>1.1828235294117646</v>
      </c>
    </row>
    <row r="147" spans="1:35" x14ac:dyDescent="0.3">
      <c r="A147" s="32" t="s">
        <v>1384</v>
      </c>
      <c r="B147" s="20" t="s">
        <v>1385</v>
      </c>
      <c r="C147" s="20" t="s">
        <v>20</v>
      </c>
      <c r="D147" s="20" t="s">
        <v>31</v>
      </c>
      <c r="E147" s="20">
        <v>1</v>
      </c>
      <c r="F147" s="20" t="s">
        <v>1379</v>
      </c>
      <c r="G147" s="46">
        <v>40.000000000000036</v>
      </c>
      <c r="H147" s="41" t="s">
        <v>1472</v>
      </c>
      <c r="I147" s="44">
        <f>SUM(J147:AI147)</f>
        <v>415.45035294117645</v>
      </c>
      <c r="J147" s="33">
        <v>0.30352941176470588</v>
      </c>
      <c r="K147" s="33">
        <v>0.66129411764705881</v>
      </c>
      <c r="L147" s="33">
        <v>0.6049411764705882</v>
      </c>
      <c r="M147" s="43">
        <v>0</v>
      </c>
      <c r="N147" s="33">
        <v>0.21458823529411761</v>
      </c>
      <c r="O147" s="33">
        <v>121.71199999999999</v>
      </c>
      <c r="P147" s="33">
        <v>53.118235294117639</v>
      </c>
      <c r="Q147" s="33">
        <v>26.115294117647061</v>
      </c>
      <c r="R147" s="33">
        <v>1.4479999999999997</v>
      </c>
      <c r="S147" s="33">
        <v>0.68847058823529406</v>
      </c>
      <c r="T147" s="33">
        <v>38.034941176470582</v>
      </c>
      <c r="U147" s="33">
        <v>0</v>
      </c>
      <c r="V147" s="33">
        <v>0</v>
      </c>
      <c r="W147" s="33">
        <v>125.9545882352941</v>
      </c>
      <c r="X147" s="33">
        <v>5.629999999999999</v>
      </c>
      <c r="Y147" s="33">
        <v>28.622705882352935</v>
      </c>
      <c r="Z147" s="33">
        <v>1.4672941176470586</v>
      </c>
      <c r="AA147" s="33">
        <v>4.1043529411764705</v>
      </c>
      <c r="AB147" s="33">
        <v>4.196470588235294</v>
      </c>
      <c r="AC147" s="43">
        <v>0</v>
      </c>
      <c r="AD147" s="33">
        <v>1.2389411764705882</v>
      </c>
      <c r="AE147" s="21">
        <v>0.25788235294117645</v>
      </c>
      <c r="AF147" s="33">
        <v>5.4470588235294111E-2</v>
      </c>
      <c r="AG147" s="33">
        <v>8.8941176470588232E-2</v>
      </c>
      <c r="AH147" s="33">
        <v>3.6470588235294116E-2</v>
      </c>
      <c r="AI147" s="33">
        <v>0.89694117647058824</v>
      </c>
    </row>
    <row r="148" spans="1:35" x14ac:dyDescent="0.3">
      <c r="A148" s="32" t="s">
        <v>1410</v>
      </c>
      <c r="B148" s="20" t="s">
        <v>1411</v>
      </c>
      <c r="C148" s="20" t="s">
        <v>146</v>
      </c>
      <c r="D148" s="20" t="s">
        <v>146</v>
      </c>
      <c r="E148" s="20">
        <v>1</v>
      </c>
      <c r="F148" s="20" t="s">
        <v>1379</v>
      </c>
      <c r="G148" s="46">
        <v>77.000000000000398</v>
      </c>
      <c r="H148" s="41" t="s">
        <v>1472</v>
      </c>
      <c r="I148" s="44">
        <f>SUM(J148:AI148)</f>
        <v>601.83047058823513</v>
      </c>
      <c r="J148" s="33">
        <v>0.35694117647058821</v>
      </c>
      <c r="K148" s="33">
        <v>0.59929411764705875</v>
      </c>
      <c r="L148" s="33">
        <v>0.82023529411764706</v>
      </c>
      <c r="M148" s="43">
        <v>0</v>
      </c>
      <c r="N148" s="33">
        <v>0.52658823529411758</v>
      </c>
      <c r="O148" s="33">
        <v>111.96411764705881</v>
      </c>
      <c r="P148" s="33">
        <v>39.437882352941173</v>
      </c>
      <c r="Q148" s="33">
        <v>26.288823529411761</v>
      </c>
      <c r="R148" s="33">
        <v>3.7311764705882347</v>
      </c>
      <c r="S148" s="33">
        <v>1.078705882352941</v>
      </c>
      <c r="T148" s="33">
        <v>40.209058823529411</v>
      </c>
      <c r="U148" s="33">
        <v>0</v>
      </c>
      <c r="V148" s="33">
        <v>2.976470588235294E-2</v>
      </c>
      <c r="W148" s="33">
        <v>282.82858823529409</v>
      </c>
      <c r="X148" s="33">
        <v>11.362705882352939</v>
      </c>
      <c r="Y148" s="33">
        <v>64.193294117647056</v>
      </c>
      <c r="Z148" s="33">
        <v>3.3809411764705883</v>
      </c>
      <c r="AA148" s="33">
        <v>3.2554117647058822</v>
      </c>
      <c r="AB148" s="33">
        <v>8.1091764705882348</v>
      </c>
      <c r="AC148" s="43">
        <v>0</v>
      </c>
      <c r="AD148" s="33">
        <v>1.1150588235294117</v>
      </c>
      <c r="AE148" s="21">
        <v>0.24682352941176466</v>
      </c>
      <c r="AF148" s="33">
        <v>0.2317647058823529</v>
      </c>
      <c r="AG148" s="33">
        <v>0.12505882352941175</v>
      </c>
      <c r="AH148" s="33">
        <v>0.15717647058823528</v>
      </c>
      <c r="AI148" s="33">
        <v>1.7818823529411765</v>
      </c>
    </row>
    <row r="149" spans="1:35" x14ac:dyDescent="0.3">
      <c r="A149" s="32" t="s">
        <v>1412</v>
      </c>
      <c r="B149" s="20" t="s">
        <v>1413</v>
      </c>
      <c r="C149" s="20" t="s">
        <v>146</v>
      </c>
      <c r="D149" s="20" t="s">
        <v>149</v>
      </c>
      <c r="E149" s="20">
        <v>1</v>
      </c>
      <c r="F149" s="20" t="s">
        <v>1379</v>
      </c>
      <c r="G149" s="46">
        <v>23.999999999999577</v>
      </c>
      <c r="H149" s="41" t="s">
        <v>1472</v>
      </c>
      <c r="I149" s="44">
        <f>SUM(J149:AI149)</f>
        <v>959.73117647058814</v>
      </c>
      <c r="J149" s="33">
        <v>0.85694117647058821</v>
      </c>
      <c r="K149" s="33">
        <v>0.48870588235294116</v>
      </c>
      <c r="L149" s="33">
        <v>0.66988235294117637</v>
      </c>
      <c r="M149" s="43">
        <v>0</v>
      </c>
      <c r="N149" s="33">
        <v>0.44329411764705878</v>
      </c>
      <c r="O149" s="33">
        <v>184.39435294117646</v>
      </c>
      <c r="P149" s="33">
        <v>101.32964705882353</v>
      </c>
      <c r="Q149" s="33">
        <v>57.012235294117644</v>
      </c>
      <c r="R149" s="33">
        <v>4.6608235294117648</v>
      </c>
      <c r="S149" s="33">
        <v>1.4510588235294117</v>
      </c>
      <c r="T149" s="33">
        <v>66.1130588235294</v>
      </c>
      <c r="U149" s="33">
        <v>0</v>
      </c>
      <c r="V149" s="33">
        <v>1.3647058823529411E-2</v>
      </c>
      <c r="W149" s="33">
        <v>420.10176470588232</v>
      </c>
      <c r="X149" s="33">
        <v>16.557411764705883</v>
      </c>
      <c r="Y149" s="33">
        <v>77.267529411764698</v>
      </c>
      <c r="Z149" s="33">
        <v>4.3255294117647054</v>
      </c>
      <c r="AA149" s="33">
        <v>5.3105882352941176</v>
      </c>
      <c r="AB149" s="33">
        <v>14.029176470588235</v>
      </c>
      <c r="AC149" s="43">
        <v>0</v>
      </c>
      <c r="AD149" s="33">
        <v>1.408235294117647</v>
      </c>
      <c r="AE149" s="21">
        <v>0.2791764705882353</v>
      </c>
      <c r="AF149" s="33">
        <v>0.24611764705882352</v>
      </c>
      <c r="AG149" s="33">
        <v>6.3529411764705876E-2</v>
      </c>
      <c r="AH149" s="33">
        <v>9.6588235294117641E-2</v>
      </c>
      <c r="AI149" s="33">
        <v>2.6118823529411763</v>
      </c>
    </row>
    <row r="150" spans="1:35" x14ac:dyDescent="0.3">
      <c r="A150" s="32" t="s">
        <v>1416</v>
      </c>
      <c r="B150" s="20" t="s">
        <v>1417</v>
      </c>
      <c r="C150" s="20" t="s">
        <v>146</v>
      </c>
      <c r="D150" s="20" t="s">
        <v>145</v>
      </c>
      <c r="E150" s="20">
        <v>1</v>
      </c>
      <c r="F150" s="20" t="s">
        <v>1379</v>
      </c>
      <c r="G150" s="46">
        <v>38.499999999999091</v>
      </c>
      <c r="H150" s="41" t="s">
        <v>1472</v>
      </c>
      <c r="I150" s="44">
        <f>SUM(J150:AI150)</f>
        <v>670.54294117647066</v>
      </c>
      <c r="J150" s="33">
        <v>0.42529411764705882</v>
      </c>
      <c r="K150" s="33">
        <v>1.8676470588235292</v>
      </c>
      <c r="L150" s="33">
        <v>2.0863529411764703</v>
      </c>
      <c r="M150" s="43">
        <v>0</v>
      </c>
      <c r="N150" s="33">
        <v>0.56894117647058817</v>
      </c>
      <c r="O150" s="33">
        <v>126.16529411764705</v>
      </c>
      <c r="P150" s="33">
        <v>40.6235294117647</v>
      </c>
      <c r="Q150" s="33">
        <v>34.60741176470588</v>
      </c>
      <c r="R150" s="33">
        <v>4.346705882352941</v>
      </c>
      <c r="S150" s="33">
        <v>1.2101176470588233</v>
      </c>
      <c r="T150" s="33">
        <v>47.094941176470584</v>
      </c>
      <c r="U150" s="33">
        <v>0</v>
      </c>
      <c r="V150" s="33">
        <v>0</v>
      </c>
      <c r="W150" s="33">
        <v>308.01717647058825</v>
      </c>
      <c r="X150" s="33">
        <v>13.753882352941174</v>
      </c>
      <c r="Y150" s="33">
        <v>65.137294117647059</v>
      </c>
      <c r="Z150" s="33">
        <v>3.2914117647058823</v>
      </c>
      <c r="AA150" s="33">
        <v>3.0172941176470585</v>
      </c>
      <c r="AB150" s="33">
        <v>14.207882352941176</v>
      </c>
      <c r="AC150" s="43">
        <v>0</v>
      </c>
      <c r="AD150" s="33">
        <v>0.89117647058823524</v>
      </c>
      <c r="AE150" s="21">
        <v>0.17952941176470585</v>
      </c>
      <c r="AF150" s="33">
        <v>0.22082352941176467</v>
      </c>
      <c r="AG150" s="33">
        <v>9.8352941176470574E-2</v>
      </c>
      <c r="AH150" s="33">
        <v>0.108</v>
      </c>
      <c r="AI150" s="33">
        <v>2.6238823529411763</v>
      </c>
    </row>
    <row r="151" spans="1:35" x14ac:dyDescent="0.3">
      <c r="A151" s="32" t="s">
        <v>1414</v>
      </c>
      <c r="B151" s="20" t="s">
        <v>1415</v>
      </c>
      <c r="C151" s="20" t="s">
        <v>146</v>
      </c>
      <c r="D151" s="20" t="s">
        <v>143</v>
      </c>
      <c r="E151" s="20">
        <v>1</v>
      </c>
      <c r="F151" s="20" t="s">
        <v>1379</v>
      </c>
      <c r="G151" s="46">
        <v>83.999999999999631</v>
      </c>
      <c r="H151" s="41" t="s">
        <v>1472</v>
      </c>
      <c r="I151" s="44">
        <f>SUM(J151:AI151)</f>
        <v>335.85105882352934</v>
      </c>
      <c r="J151" s="33">
        <v>0.21282352941176466</v>
      </c>
      <c r="K151" s="33">
        <v>0.29399999999999998</v>
      </c>
      <c r="L151" s="33">
        <v>1.6568235294117648</v>
      </c>
      <c r="M151" s="43">
        <v>0</v>
      </c>
      <c r="N151" s="33">
        <v>0.3470588235294117</v>
      </c>
      <c r="O151" s="33">
        <v>65.847411764705882</v>
      </c>
      <c r="P151" s="33">
        <v>8.1121176470588221</v>
      </c>
      <c r="Q151" s="33">
        <v>9.3159999999999989</v>
      </c>
      <c r="R151" s="33">
        <v>6.3897647058823521</v>
      </c>
      <c r="S151" s="33">
        <v>0.66941176470588226</v>
      </c>
      <c r="T151" s="33">
        <v>26.092588235294116</v>
      </c>
      <c r="U151" s="33">
        <v>0</v>
      </c>
      <c r="V151" s="33">
        <v>0</v>
      </c>
      <c r="W151" s="33">
        <v>147.33352941176472</v>
      </c>
      <c r="X151" s="33">
        <v>6.8689411764705879</v>
      </c>
      <c r="Y151" s="33">
        <v>48.377294117647054</v>
      </c>
      <c r="Z151" s="33">
        <v>2.1488235294117648</v>
      </c>
      <c r="AA151" s="33">
        <v>1.2187058823529411</v>
      </c>
      <c r="AB151" s="33">
        <v>7.9591764705882344</v>
      </c>
      <c r="AC151" s="43">
        <v>0</v>
      </c>
      <c r="AD151" s="33">
        <v>0.48023529411764704</v>
      </c>
      <c r="AE151" s="21">
        <v>0.11352941176470588</v>
      </c>
      <c r="AF151" s="33">
        <v>0.24505882352941177</v>
      </c>
      <c r="AG151" s="33">
        <v>5.1647058823529407E-2</v>
      </c>
      <c r="AH151" s="33">
        <v>0.17835294117647058</v>
      </c>
      <c r="AI151" s="33">
        <v>1.9377647058823528</v>
      </c>
    </row>
    <row r="152" spans="1:35" x14ac:dyDescent="0.3">
      <c r="A152" s="32" t="s">
        <v>1446</v>
      </c>
      <c r="B152" s="20" t="s">
        <v>1447</v>
      </c>
      <c r="C152" s="20" t="s">
        <v>261</v>
      </c>
      <c r="D152" s="20" t="s">
        <v>264</v>
      </c>
      <c r="E152" s="20">
        <v>1</v>
      </c>
      <c r="F152" s="20" t="s">
        <v>1379</v>
      </c>
      <c r="G152" s="46">
        <v>39.000000000000142</v>
      </c>
      <c r="H152" s="41" t="s">
        <v>1472</v>
      </c>
      <c r="I152" s="44">
        <f>SUM(J152:AI152)</f>
        <v>153.96305882352937</v>
      </c>
      <c r="J152" s="33">
        <v>0.33141176470588235</v>
      </c>
      <c r="K152" s="33">
        <v>0.50882352941176467</v>
      </c>
      <c r="L152" s="33">
        <v>1.1458823529411764</v>
      </c>
      <c r="M152" s="43">
        <v>0</v>
      </c>
      <c r="N152" s="33">
        <v>0.60082352941176465</v>
      </c>
      <c r="O152" s="33">
        <v>45.066588235294113</v>
      </c>
      <c r="P152" s="33">
        <v>7.7618823529411758</v>
      </c>
      <c r="Q152" s="33">
        <v>3.4751764705882349</v>
      </c>
      <c r="R152" s="33">
        <v>1.2154117647058822</v>
      </c>
      <c r="S152" s="33">
        <v>0.4928235294117646</v>
      </c>
      <c r="T152" s="33">
        <v>17.262941176470587</v>
      </c>
      <c r="U152" s="33">
        <v>0</v>
      </c>
      <c r="V152" s="33">
        <v>0</v>
      </c>
      <c r="W152" s="33">
        <v>29.538470588235292</v>
      </c>
      <c r="X152" s="33">
        <v>2.0850588235294114</v>
      </c>
      <c r="Y152" s="33">
        <v>36.333176470588235</v>
      </c>
      <c r="Z152" s="33">
        <v>1.8599999999999997</v>
      </c>
      <c r="AA152" s="33">
        <v>1.0910588235294116</v>
      </c>
      <c r="AB152" s="33">
        <v>3.4134117647058821</v>
      </c>
      <c r="AC152" s="43">
        <v>0</v>
      </c>
      <c r="AD152" s="33">
        <v>0.70176470588235296</v>
      </c>
      <c r="AE152" s="21">
        <v>0.21705882352941175</v>
      </c>
      <c r="AF152" s="33">
        <v>8.9176470588235288E-2</v>
      </c>
      <c r="AG152" s="33">
        <v>9.2823529411764694E-2</v>
      </c>
      <c r="AH152" s="33">
        <v>5.6705882352941168E-2</v>
      </c>
      <c r="AI152" s="33">
        <v>0.62258823529411766</v>
      </c>
    </row>
    <row r="153" spans="1:35" x14ac:dyDescent="0.3">
      <c r="A153" s="32" t="s">
        <v>1448</v>
      </c>
      <c r="B153" s="20" t="s">
        <v>1449</v>
      </c>
      <c r="C153" s="20" t="s">
        <v>261</v>
      </c>
      <c r="D153" s="20" t="s">
        <v>266</v>
      </c>
      <c r="E153" s="20">
        <v>1</v>
      </c>
      <c r="F153" s="20" t="s">
        <v>1379</v>
      </c>
      <c r="G153" s="46">
        <v>20.999999999999908</v>
      </c>
      <c r="H153" s="41" t="s">
        <v>1472</v>
      </c>
      <c r="I153" s="44">
        <f>SUM(J153:AI153)</f>
        <v>1021.229294117647</v>
      </c>
      <c r="J153" s="33">
        <v>0.30399999999999994</v>
      </c>
      <c r="K153" s="33">
        <v>0.62552941176470589</v>
      </c>
      <c r="L153" s="33">
        <v>1.1379999999999999</v>
      </c>
      <c r="M153" s="43">
        <v>0</v>
      </c>
      <c r="N153" s="33">
        <v>0.70458823529411763</v>
      </c>
      <c r="O153" s="33">
        <v>214.03294117647056</v>
      </c>
      <c r="P153" s="33">
        <v>95.767411764705884</v>
      </c>
      <c r="Q153" s="33">
        <v>49.322941176470586</v>
      </c>
      <c r="R153" s="33">
        <v>6.4163529411764708</v>
      </c>
      <c r="S153" s="33">
        <v>1.4203529411764706</v>
      </c>
      <c r="T153" s="33">
        <v>72.506470588235288</v>
      </c>
      <c r="U153" s="33">
        <v>0</v>
      </c>
      <c r="V153" s="33">
        <v>0</v>
      </c>
      <c r="W153" s="33">
        <v>443.77341176470583</v>
      </c>
      <c r="X153" s="33">
        <v>17.521058823529412</v>
      </c>
      <c r="Y153" s="33">
        <v>80.036117647058816</v>
      </c>
      <c r="Z153" s="33">
        <v>3.9922352941176467</v>
      </c>
      <c r="AA153" s="33">
        <v>5.9003529411764708</v>
      </c>
      <c r="AB153" s="33">
        <v>21.342705882352941</v>
      </c>
      <c r="AC153" s="43">
        <v>0</v>
      </c>
      <c r="AD153" s="33">
        <v>1.5836470588235294</v>
      </c>
      <c r="AE153" s="21">
        <v>0.33682352941176469</v>
      </c>
      <c r="AF153" s="33">
        <v>0.28752941176470587</v>
      </c>
      <c r="AG153" s="33">
        <v>0.10329411764705881</v>
      </c>
      <c r="AH153" s="33">
        <v>0.12094117647058822</v>
      </c>
      <c r="AI153" s="33">
        <v>3.9925882352941175</v>
      </c>
    </row>
    <row r="154" spans="1:35" x14ac:dyDescent="0.3">
      <c r="A154" s="32" t="s">
        <v>1440</v>
      </c>
      <c r="B154" s="20" t="s">
        <v>1441</v>
      </c>
      <c r="C154" s="20" t="s">
        <v>261</v>
      </c>
      <c r="D154" s="20" t="s">
        <v>268</v>
      </c>
      <c r="E154" s="20">
        <v>1</v>
      </c>
      <c r="F154" s="20" t="s">
        <v>1379</v>
      </c>
      <c r="G154" s="46">
        <v>28.500000000000192</v>
      </c>
      <c r="H154" s="41" t="s">
        <v>1472</v>
      </c>
      <c r="I154" s="44">
        <f>SUM(J154:AI154)</f>
        <v>1220.3451764705883</v>
      </c>
      <c r="J154" s="33">
        <v>0.21317647058823527</v>
      </c>
      <c r="K154" s="33">
        <v>0.46494117647058819</v>
      </c>
      <c r="L154" s="33">
        <v>1.3179999999999998</v>
      </c>
      <c r="M154" s="43">
        <v>0</v>
      </c>
      <c r="N154" s="33">
        <v>0.48917647058823527</v>
      </c>
      <c r="O154" s="33">
        <v>240.90847058823528</v>
      </c>
      <c r="P154" s="33">
        <v>75.037647058823524</v>
      </c>
      <c r="Q154" s="33">
        <v>58.380823529411757</v>
      </c>
      <c r="R154" s="33">
        <v>8.1955294117647046</v>
      </c>
      <c r="S154" s="33">
        <v>1.2895294117647058</v>
      </c>
      <c r="T154" s="33">
        <v>67.080117647058813</v>
      </c>
      <c r="U154" s="33">
        <v>0</v>
      </c>
      <c r="V154" s="33">
        <v>0</v>
      </c>
      <c r="W154" s="33">
        <v>640.67388235294106</v>
      </c>
      <c r="X154" s="33">
        <v>22.628705882352939</v>
      </c>
      <c r="Y154" s="33">
        <v>79.319176470588232</v>
      </c>
      <c r="Z154" s="33">
        <v>5.6024705882352936</v>
      </c>
      <c r="AA154" s="33">
        <v>7.3556470588235285</v>
      </c>
      <c r="AB154" s="33">
        <v>7.5414117647058818</v>
      </c>
      <c r="AC154" s="43">
        <v>0</v>
      </c>
      <c r="AD154" s="33">
        <v>1.8164705882352941</v>
      </c>
      <c r="AE154" s="21">
        <v>0.32282352941176468</v>
      </c>
      <c r="AF154" s="33">
        <v>0.11023529411764704</v>
      </c>
      <c r="AG154" s="33">
        <v>5.3411764705882346E-2</v>
      </c>
      <c r="AH154" s="33">
        <v>6.2941176470588223E-2</v>
      </c>
      <c r="AI154" s="33">
        <v>1.4805882352941173</v>
      </c>
    </row>
    <row r="155" spans="1:35" x14ac:dyDescent="0.3">
      <c r="A155" s="32" t="s">
        <v>1442</v>
      </c>
      <c r="B155" s="20" t="s">
        <v>1443</v>
      </c>
      <c r="C155" s="20" t="s">
        <v>261</v>
      </c>
      <c r="D155" s="20" t="s">
        <v>270</v>
      </c>
      <c r="E155" s="20">
        <v>1</v>
      </c>
      <c r="F155" s="20" t="s">
        <v>1379</v>
      </c>
      <c r="G155" s="46">
        <v>37.999999999999993</v>
      </c>
      <c r="H155" s="41" t="s">
        <v>1472</v>
      </c>
      <c r="I155" s="44">
        <f>SUM(J155:AI155)</f>
        <v>436.60576470588228</v>
      </c>
      <c r="J155" s="33">
        <v>0.18376470588235294</v>
      </c>
      <c r="K155" s="33">
        <v>0.42482352941176471</v>
      </c>
      <c r="L155" s="33">
        <v>0.37188235294117644</v>
      </c>
      <c r="M155" s="43">
        <v>0</v>
      </c>
      <c r="N155" s="33">
        <v>0.17294117647058821</v>
      </c>
      <c r="O155" s="33">
        <v>99.254470588235279</v>
      </c>
      <c r="P155" s="33">
        <v>42.087529411764706</v>
      </c>
      <c r="Q155" s="33">
        <v>21.494941176470586</v>
      </c>
      <c r="R155" s="33">
        <v>1.5259999999999998</v>
      </c>
      <c r="S155" s="33">
        <v>0.59764705882352931</v>
      </c>
      <c r="T155" s="33">
        <v>35.123294117647056</v>
      </c>
      <c r="U155" s="33">
        <v>0</v>
      </c>
      <c r="V155" s="33">
        <v>0</v>
      </c>
      <c r="W155" s="33">
        <v>180.61823529411765</v>
      </c>
      <c r="X155" s="33">
        <v>6.9515294117647048</v>
      </c>
      <c r="Y155" s="33">
        <v>36.700941176470586</v>
      </c>
      <c r="Z155" s="33">
        <v>2.4351764705882353</v>
      </c>
      <c r="AA155" s="33">
        <v>4.6221176470588237</v>
      </c>
      <c r="AB155" s="33">
        <v>1.8612941176470585</v>
      </c>
      <c r="AC155" s="43">
        <v>0</v>
      </c>
      <c r="AD155" s="33">
        <v>1.2154117647058822</v>
      </c>
      <c r="AE155" s="21">
        <v>0.21447058823529411</v>
      </c>
      <c r="AF155" s="33">
        <v>6.670588235294117E-2</v>
      </c>
      <c r="AG155" s="33">
        <v>0.13741176470588234</v>
      </c>
      <c r="AH155" s="33">
        <v>1.7882352941176471E-2</v>
      </c>
      <c r="AI155" s="33">
        <v>0.5272941176470588</v>
      </c>
    </row>
    <row r="156" spans="1:35" x14ac:dyDescent="0.3">
      <c r="A156" s="32" t="s">
        <v>1444</v>
      </c>
      <c r="B156" s="20" t="s">
        <v>1445</v>
      </c>
      <c r="C156" s="20" t="s">
        <v>261</v>
      </c>
      <c r="D156" s="20" t="s">
        <v>272</v>
      </c>
      <c r="E156" s="20">
        <v>1</v>
      </c>
      <c r="F156" s="20" t="s">
        <v>1379</v>
      </c>
      <c r="G156" s="46">
        <v>8.4999999999990639</v>
      </c>
      <c r="H156" s="41" t="s">
        <v>1472</v>
      </c>
      <c r="I156" s="44">
        <f>SUM(J156:AI156)</f>
        <v>886.23741176470594</v>
      </c>
      <c r="J156" s="33">
        <v>0.16576470588235293</v>
      </c>
      <c r="K156" s="33">
        <v>0.39411764705882352</v>
      </c>
      <c r="L156" s="33">
        <v>1.0287058823529411</v>
      </c>
      <c r="M156" s="43">
        <v>0</v>
      </c>
      <c r="N156" s="33">
        <v>0.44870588235294112</v>
      </c>
      <c r="O156" s="33">
        <v>198.56494117647057</v>
      </c>
      <c r="P156" s="33">
        <v>129.62011764705881</v>
      </c>
      <c r="Q156" s="33">
        <v>56.080705882352937</v>
      </c>
      <c r="R156" s="33">
        <v>4.5302352941176469</v>
      </c>
      <c r="S156" s="33">
        <v>1.232470588235294</v>
      </c>
      <c r="T156" s="33">
        <v>64.075529411764705</v>
      </c>
      <c r="U156" s="33">
        <v>0</v>
      </c>
      <c r="V156" s="33">
        <v>0</v>
      </c>
      <c r="W156" s="33">
        <v>347.59505882352937</v>
      </c>
      <c r="X156" s="33">
        <v>14.628705882352941</v>
      </c>
      <c r="Y156" s="33">
        <v>46.426941176470585</v>
      </c>
      <c r="Z156" s="33">
        <v>2.588705882352941</v>
      </c>
      <c r="AA156" s="33">
        <v>7.1750588235294108</v>
      </c>
      <c r="AB156" s="33">
        <v>7.4628235294117644</v>
      </c>
      <c r="AC156" s="43">
        <v>0</v>
      </c>
      <c r="AD156" s="33">
        <v>1.9477647058823528</v>
      </c>
      <c r="AE156" s="21">
        <v>0.35705882352941171</v>
      </c>
      <c r="AF156" s="33">
        <v>0.13423529411764704</v>
      </c>
      <c r="AG156" s="33">
        <v>9.3529411764705875E-2</v>
      </c>
      <c r="AH156" s="33">
        <v>7.1294117647058827E-2</v>
      </c>
      <c r="AI156" s="33">
        <v>1.6149411764705881</v>
      </c>
    </row>
    <row r="157" spans="1:35" x14ac:dyDescent="0.3">
      <c r="A157" s="32" t="s">
        <v>1396</v>
      </c>
      <c r="B157" s="20" t="s">
        <v>1397</v>
      </c>
      <c r="C157" s="20" t="s">
        <v>20</v>
      </c>
      <c r="D157" s="20" t="s">
        <v>33</v>
      </c>
      <c r="E157" s="20">
        <v>2</v>
      </c>
      <c r="F157" s="20" t="s">
        <v>1379</v>
      </c>
      <c r="G157" s="46">
        <v>65.499999999999446</v>
      </c>
      <c r="H157" s="41" t="s">
        <v>1472</v>
      </c>
      <c r="I157" s="44">
        <f>SUM(J157:AI157)</f>
        <v>128.48741176470591</v>
      </c>
      <c r="J157" s="33">
        <v>0.20588235294117646</v>
      </c>
      <c r="K157" s="33">
        <v>0.21482352941176466</v>
      </c>
      <c r="L157" s="33">
        <v>0.2597647058823529</v>
      </c>
      <c r="M157" s="43">
        <v>0</v>
      </c>
      <c r="N157" s="33">
        <v>9.8470588235294115E-2</v>
      </c>
      <c r="O157" s="33">
        <v>27.169529411764707</v>
      </c>
      <c r="P157" s="33">
        <v>8.9772941176470589</v>
      </c>
      <c r="Q157" s="33">
        <v>5.3051764705882354</v>
      </c>
      <c r="R157" s="33">
        <v>0.51223529411764701</v>
      </c>
      <c r="S157" s="33">
        <v>0.23729411764705882</v>
      </c>
      <c r="T157" s="33">
        <v>12.460235294117647</v>
      </c>
      <c r="U157" s="33">
        <v>0</v>
      </c>
      <c r="V157" s="33">
        <v>0</v>
      </c>
      <c r="W157" s="33">
        <v>52.577058823529413</v>
      </c>
      <c r="X157" s="33">
        <v>2.0585882352941174</v>
      </c>
      <c r="Y157" s="33">
        <v>12.54564705882353</v>
      </c>
      <c r="Z157" s="33">
        <v>0.73752941176470577</v>
      </c>
      <c r="AA157" s="33">
        <v>1.9845882352941175</v>
      </c>
      <c r="AB157" s="33">
        <v>1.464470588235294</v>
      </c>
      <c r="AC157" s="43">
        <v>0</v>
      </c>
      <c r="AD157" s="33">
        <v>0.87211764705882344</v>
      </c>
      <c r="AE157" s="21">
        <v>0.18588235294117647</v>
      </c>
      <c r="AF157" s="33">
        <v>2.4705882352941171E-2</v>
      </c>
      <c r="AG157" s="33">
        <v>0.15070588235294116</v>
      </c>
      <c r="AH157" s="33">
        <v>3.164705882352941E-2</v>
      </c>
      <c r="AI157" s="33">
        <v>0.41376470588235292</v>
      </c>
    </row>
    <row r="158" spans="1:35" x14ac:dyDescent="0.3">
      <c r="A158" s="32" t="s">
        <v>1398</v>
      </c>
      <c r="B158" s="20" t="s">
        <v>1399</v>
      </c>
      <c r="C158" s="20" t="s">
        <v>20</v>
      </c>
      <c r="D158" s="20" t="s">
        <v>35</v>
      </c>
      <c r="E158" s="20">
        <v>2</v>
      </c>
      <c r="F158" s="20" t="s">
        <v>1379</v>
      </c>
      <c r="G158" s="46">
        <v>77.499999999999233</v>
      </c>
      <c r="H158" s="41" t="s">
        <v>1472</v>
      </c>
      <c r="I158" s="44">
        <f>SUM(J158:AI158)</f>
        <v>759.46058823529415</v>
      </c>
      <c r="J158" s="33">
        <v>0.1648235294117647</v>
      </c>
      <c r="K158" s="33">
        <v>0.2084705882352941</v>
      </c>
      <c r="L158" s="33">
        <v>0.4654117647058823</v>
      </c>
      <c r="M158" s="43">
        <v>0</v>
      </c>
      <c r="N158" s="33">
        <v>0.14988235294117647</v>
      </c>
      <c r="O158" s="33">
        <v>126.27870588235292</v>
      </c>
      <c r="P158" s="33">
        <v>28.250117647058822</v>
      </c>
      <c r="Q158" s="33">
        <v>32.230117647058819</v>
      </c>
      <c r="R158" s="33">
        <v>5.3128235294117641</v>
      </c>
      <c r="S158" s="33">
        <v>0.59458823529411764</v>
      </c>
      <c r="T158" s="33">
        <v>34.868823529411763</v>
      </c>
      <c r="U158" s="33">
        <v>0</v>
      </c>
      <c r="V158" s="33">
        <v>0</v>
      </c>
      <c r="W158" s="33">
        <v>450.04247058823529</v>
      </c>
      <c r="X158" s="33">
        <v>15.765411764705881</v>
      </c>
      <c r="Y158" s="33">
        <v>50.246941176470585</v>
      </c>
      <c r="Z158" s="33">
        <v>4.1832941176470584</v>
      </c>
      <c r="AA158" s="33">
        <v>5.4159999999999995</v>
      </c>
      <c r="AB158" s="33">
        <v>1.6759999999999999</v>
      </c>
      <c r="AC158" s="43">
        <v>0</v>
      </c>
      <c r="AD158" s="33">
        <v>2.1516470588235292</v>
      </c>
      <c r="AE158" s="21">
        <v>0.26317647058823529</v>
      </c>
      <c r="AF158" s="33">
        <v>3.1529411764705882E-2</v>
      </c>
      <c r="AG158" s="33">
        <v>0.7677647058823529</v>
      </c>
      <c r="AH158" s="33">
        <v>2.1882352941176471E-2</v>
      </c>
      <c r="AI158" s="33">
        <v>0.37070588235294116</v>
      </c>
    </row>
    <row r="159" spans="1:35" x14ac:dyDescent="0.3">
      <c r="A159" s="32" t="s">
        <v>1390</v>
      </c>
      <c r="B159" s="20" t="s">
        <v>1391</v>
      </c>
      <c r="C159" s="20" t="s">
        <v>20</v>
      </c>
      <c r="D159" s="20" t="s">
        <v>37</v>
      </c>
      <c r="E159" s="20">
        <v>2</v>
      </c>
      <c r="F159" s="20" t="s">
        <v>1379</v>
      </c>
      <c r="G159" s="46">
        <v>53.499999999999659</v>
      </c>
      <c r="H159" s="41" t="s">
        <v>1472</v>
      </c>
      <c r="I159" s="44">
        <f>SUM(J159:AI159)</f>
        <v>318.23399999999998</v>
      </c>
      <c r="J159" s="33">
        <v>0.21411764705882352</v>
      </c>
      <c r="K159" s="33">
        <v>0.52117647058823524</v>
      </c>
      <c r="L159" s="33">
        <v>0.43070588235294111</v>
      </c>
      <c r="M159" s="43">
        <v>0</v>
      </c>
      <c r="N159" s="33">
        <v>0.18282352941176469</v>
      </c>
      <c r="O159" s="33">
        <v>63.643764705882347</v>
      </c>
      <c r="P159" s="33">
        <v>7.5057647058823518</v>
      </c>
      <c r="Q159" s="33">
        <v>19.090588235294117</v>
      </c>
      <c r="R159" s="33">
        <v>1.8945882352941175</v>
      </c>
      <c r="S159" s="33">
        <v>0.58870588235294119</v>
      </c>
      <c r="T159" s="33">
        <v>24.349294117647059</v>
      </c>
      <c r="U159" s="33">
        <v>0</v>
      </c>
      <c r="V159" s="33">
        <v>0</v>
      </c>
      <c r="W159" s="33">
        <v>143.78235294117647</v>
      </c>
      <c r="X159" s="33">
        <v>5.7462352941176462</v>
      </c>
      <c r="Y159" s="33">
        <v>37.320941176470591</v>
      </c>
      <c r="Z159" s="33">
        <v>1.4419999999999999</v>
      </c>
      <c r="AA159" s="33">
        <v>2.0032941176470587</v>
      </c>
      <c r="AB159" s="33">
        <v>6.9669411764705877</v>
      </c>
      <c r="AC159" s="43">
        <v>0</v>
      </c>
      <c r="AD159" s="33">
        <v>0.71305882352941163</v>
      </c>
      <c r="AE159" s="21">
        <v>0.13458823529411765</v>
      </c>
      <c r="AF159" s="33">
        <v>8.4588235294117645E-2</v>
      </c>
      <c r="AG159" s="33">
        <v>0.12741176470588234</v>
      </c>
      <c r="AH159" s="33">
        <v>6.4941176470588224E-2</v>
      </c>
      <c r="AI159" s="33">
        <v>1.4261176470588233</v>
      </c>
    </row>
    <row r="160" spans="1:35" x14ac:dyDescent="0.3">
      <c r="A160" s="32" t="s">
        <v>1392</v>
      </c>
      <c r="B160" s="20" t="s">
        <v>1393</v>
      </c>
      <c r="C160" s="20" t="s">
        <v>20</v>
      </c>
      <c r="D160" s="20" t="s">
        <v>39</v>
      </c>
      <c r="E160" s="20">
        <v>2</v>
      </c>
      <c r="F160" s="20" t="s">
        <v>1379</v>
      </c>
      <c r="G160" s="46">
        <v>59.000000000000163</v>
      </c>
      <c r="H160" s="41" t="s">
        <v>1472</v>
      </c>
      <c r="I160" s="44">
        <f>SUM(J160:AI160)</f>
        <v>88.572235294117647</v>
      </c>
      <c r="J160" s="33">
        <v>0.31470588235294117</v>
      </c>
      <c r="K160" s="33">
        <v>0.6051764705882352</v>
      </c>
      <c r="L160" s="33">
        <v>0.3644705882352941</v>
      </c>
      <c r="M160" s="43">
        <v>0</v>
      </c>
      <c r="N160" s="33">
        <v>0.10529411764705882</v>
      </c>
      <c r="O160" s="33">
        <v>26.464352941176468</v>
      </c>
      <c r="P160" s="33">
        <v>10.28470588235294</v>
      </c>
      <c r="Q160" s="33">
        <v>4.2657647058823525</v>
      </c>
      <c r="R160" s="33">
        <v>0.25858823529411762</v>
      </c>
      <c r="S160" s="33">
        <v>0.19317647058823528</v>
      </c>
      <c r="T160" s="33">
        <v>9.7702352941176471</v>
      </c>
      <c r="U160" s="33">
        <v>0</v>
      </c>
      <c r="V160" s="33">
        <v>0</v>
      </c>
      <c r="W160" s="33">
        <v>21.196470588235293</v>
      </c>
      <c r="X160" s="33">
        <v>1.0165882352941176</v>
      </c>
      <c r="Y160" s="33">
        <v>9.9402352941176471</v>
      </c>
      <c r="Z160" s="33">
        <v>0.59741176470588231</v>
      </c>
      <c r="AA160" s="33">
        <v>1.1738823529411764</v>
      </c>
      <c r="AB160" s="33">
        <v>0.93482352941176472</v>
      </c>
      <c r="AC160" s="43">
        <v>0</v>
      </c>
      <c r="AD160" s="33">
        <v>0.54505882352941171</v>
      </c>
      <c r="AE160" s="21">
        <v>0.12952941176470589</v>
      </c>
      <c r="AF160" s="33">
        <v>3.0705882352941173E-2</v>
      </c>
      <c r="AG160" s="33">
        <v>9.1647058823529401E-2</v>
      </c>
      <c r="AH160" s="33">
        <v>2.5882352941176471E-2</v>
      </c>
      <c r="AI160" s="33">
        <v>0.26352941176470585</v>
      </c>
    </row>
    <row r="161" spans="1:35" x14ac:dyDescent="0.3">
      <c r="A161" s="32" t="s">
        <v>1394</v>
      </c>
      <c r="B161" s="20" t="s">
        <v>1395</v>
      </c>
      <c r="C161" s="20" t="s">
        <v>20</v>
      </c>
      <c r="D161" s="20" t="s">
        <v>41</v>
      </c>
      <c r="E161" s="20">
        <v>2</v>
      </c>
      <c r="F161" s="20" t="s">
        <v>1379</v>
      </c>
      <c r="G161" s="46">
        <v>46.499999999999318</v>
      </c>
      <c r="H161" s="41" t="s">
        <v>1472</v>
      </c>
      <c r="I161" s="44">
        <f>SUM(J161:AI161)</f>
        <v>273.60905882352944</v>
      </c>
      <c r="J161" s="33">
        <v>0.20764705882352938</v>
      </c>
      <c r="K161" s="33">
        <v>0.3801176470588235</v>
      </c>
      <c r="L161" s="33">
        <v>0.43223529411764705</v>
      </c>
      <c r="M161" s="43">
        <v>0</v>
      </c>
      <c r="N161" s="33">
        <v>0.17505882352941177</v>
      </c>
      <c r="O161" s="33">
        <v>76.658941176470577</v>
      </c>
      <c r="P161" s="33">
        <v>34.477411764705877</v>
      </c>
      <c r="Q161" s="33">
        <v>18.629176470588234</v>
      </c>
      <c r="R161" s="33">
        <v>0.98388235294117632</v>
      </c>
      <c r="S161" s="33">
        <v>0.49764705882352933</v>
      </c>
      <c r="T161" s="33">
        <v>25.862588235294112</v>
      </c>
      <c r="U161" s="33">
        <v>0</v>
      </c>
      <c r="V161" s="33">
        <v>0</v>
      </c>
      <c r="W161" s="33">
        <v>79.5475294117647</v>
      </c>
      <c r="X161" s="33">
        <v>3.6789411764705879</v>
      </c>
      <c r="Y161" s="33">
        <v>22.195999999999998</v>
      </c>
      <c r="Z161" s="33">
        <v>1.0577647058823529</v>
      </c>
      <c r="AA161" s="33">
        <v>2.6015294117647056</v>
      </c>
      <c r="AB161" s="33">
        <v>3.8128235294117641</v>
      </c>
      <c r="AC161" s="43">
        <v>0</v>
      </c>
      <c r="AD161" s="33">
        <v>0.93576470588235283</v>
      </c>
      <c r="AE161" s="21">
        <v>0.21270588235294113</v>
      </c>
      <c r="AF161" s="33">
        <v>7.2941176470588232E-2</v>
      </c>
      <c r="AG161" s="33">
        <v>0.23623529411764704</v>
      </c>
      <c r="AH161" s="33">
        <v>4.5764705882352937E-2</v>
      </c>
      <c r="AI161" s="33">
        <v>0.90635294117647047</v>
      </c>
    </row>
    <row r="162" spans="1:35" x14ac:dyDescent="0.3">
      <c r="A162" s="32" t="s">
        <v>1420</v>
      </c>
      <c r="B162" s="20" t="s">
        <v>1421</v>
      </c>
      <c r="C162" s="20" t="s">
        <v>146</v>
      </c>
      <c r="D162" s="20" t="s">
        <v>157</v>
      </c>
      <c r="E162" s="20">
        <v>2</v>
      </c>
      <c r="F162" s="20" t="s">
        <v>1379</v>
      </c>
      <c r="G162" s="46">
        <v>33.500000000000746</v>
      </c>
      <c r="H162" s="41" t="s">
        <v>1472</v>
      </c>
      <c r="I162" s="44">
        <f>SUM(J162:AI162)</f>
        <v>136.26529411764704</v>
      </c>
      <c r="J162" s="33">
        <v>0.48</v>
      </c>
      <c r="K162" s="33">
        <v>0.95611764705882341</v>
      </c>
      <c r="L162" s="33">
        <v>0.61035294117647054</v>
      </c>
      <c r="M162" s="43">
        <v>0</v>
      </c>
      <c r="N162" s="33">
        <v>0.53576470588235281</v>
      </c>
      <c r="O162" s="33">
        <v>26.856823529411763</v>
      </c>
      <c r="P162" s="33">
        <v>1.2572941176470589</v>
      </c>
      <c r="Q162" s="33">
        <v>1.8694117647058823</v>
      </c>
      <c r="R162" s="33">
        <v>0.53329411764705881</v>
      </c>
      <c r="S162" s="33">
        <v>0.58235294117647052</v>
      </c>
      <c r="T162" s="33">
        <v>17.683529411764706</v>
      </c>
      <c r="U162" s="33">
        <v>0</v>
      </c>
      <c r="V162" s="33">
        <v>6.1294117647058818E-2</v>
      </c>
      <c r="W162" s="33">
        <v>36.65776470588235</v>
      </c>
      <c r="X162" s="33">
        <v>1.8708235294117646</v>
      </c>
      <c r="Y162" s="33">
        <v>36.402588235294111</v>
      </c>
      <c r="Z162" s="33">
        <v>1.2371764705882353</v>
      </c>
      <c r="AA162" s="33">
        <v>0.496</v>
      </c>
      <c r="AB162" s="33">
        <v>6.1498823529411757</v>
      </c>
      <c r="AC162" s="43">
        <v>0</v>
      </c>
      <c r="AD162" s="33">
        <v>0.35647058823529409</v>
      </c>
      <c r="AE162" s="21">
        <v>0.11776470588235292</v>
      </c>
      <c r="AF162" s="33">
        <v>0.16047058823529409</v>
      </c>
      <c r="AG162" s="33">
        <v>4.1176470588235294E-2</v>
      </c>
      <c r="AH162" s="33">
        <v>0.10070588235294117</v>
      </c>
      <c r="AI162" s="33">
        <v>1.2482352941176469</v>
      </c>
    </row>
    <row r="163" spans="1:35" x14ac:dyDescent="0.3">
      <c r="A163" s="32" t="s">
        <v>1422</v>
      </c>
      <c r="B163" s="20" t="s">
        <v>1423</v>
      </c>
      <c r="C163" s="20" t="s">
        <v>146</v>
      </c>
      <c r="D163" s="20" t="s">
        <v>159</v>
      </c>
      <c r="E163" s="20">
        <v>2</v>
      </c>
      <c r="F163" s="20" t="s">
        <v>1379</v>
      </c>
      <c r="G163" s="46">
        <v>34.000000000000696</v>
      </c>
      <c r="H163" s="41" t="s">
        <v>1472</v>
      </c>
      <c r="I163" s="44">
        <f>SUM(J163:AI163)</f>
        <v>410.44258823529412</v>
      </c>
      <c r="J163" s="33">
        <v>0.18588235294117647</v>
      </c>
      <c r="K163" s="33">
        <v>0.22364705882352939</v>
      </c>
      <c r="L163" s="33">
        <v>0.3450588235294117</v>
      </c>
      <c r="M163" s="43">
        <v>0</v>
      </c>
      <c r="N163" s="33">
        <v>0.25329411764705884</v>
      </c>
      <c r="O163" s="33">
        <v>98.923058823529402</v>
      </c>
      <c r="P163" s="33">
        <v>66.531647058823523</v>
      </c>
      <c r="Q163" s="33">
        <v>29.877176470588232</v>
      </c>
      <c r="R163" s="33">
        <v>1.3672941176470588</v>
      </c>
      <c r="S163" s="33">
        <v>0.57741176470588229</v>
      </c>
      <c r="T163" s="33">
        <v>30.104235294117647</v>
      </c>
      <c r="U163" s="33">
        <v>0</v>
      </c>
      <c r="V163" s="33">
        <v>1.8823529411764704E-2</v>
      </c>
      <c r="W163" s="33">
        <v>144.72329411764704</v>
      </c>
      <c r="X163" s="33">
        <v>5.8031764705882347</v>
      </c>
      <c r="Y163" s="33">
        <v>22.088470588235293</v>
      </c>
      <c r="Z163" s="33">
        <v>1.3421176470588234</v>
      </c>
      <c r="AA163" s="33">
        <v>3.3149411764705881</v>
      </c>
      <c r="AB163" s="33">
        <v>2.7272941176470584</v>
      </c>
      <c r="AC163" s="43">
        <v>0</v>
      </c>
      <c r="AD163" s="33">
        <v>0.9829411764705881</v>
      </c>
      <c r="AE163" s="21">
        <v>0.20423529411764704</v>
      </c>
      <c r="AF163" s="33">
        <v>5.776470588235294E-2</v>
      </c>
      <c r="AG163" s="33">
        <v>7.7176470588235291E-2</v>
      </c>
      <c r="AH163" s="33">
        <v>1.4823529411764706E-2</v>
      </c>
      <c r="AI163" s="33">
        <v>0.69882352941176462</v>
      </c>
    </row>
    <row r="164" spans="1:35" x14ac:dyDescent="0.3">
      <c r="A164" s="32" t="s">
        <v>1418</v>
      </c>
      <c r="B164" s="20" t="s">
        <v>1419</v>
      </c>
      <c r="C164" s="20" t="s">
        <v>146</v>
      </c>
      <c r="D164" s="20" t="s">
        <v>155</v>
      </c>
      <c r="E164" s="20">
        <v>2</v>
      </c>
      <c r="F164" s="20" t="s">
        <v>1379</v>
      </c>
      <c r="G164" s="46">
        <v>34.499999999999531</v>
      </c>
      <c r="H164" s="41" t="s">
        <v>1472</v>
      </c>
      <c r="I164" s="44">
        <f>SUM(J164:AI164)</f>
        <v>408.928</v>
      </c>
      <c r="J164" s="33">
        <v>0.23094117647058823</v>
      </c>
      <c r="K164" s="33">
        <v>0.66694117647058815</v>
      </c>
      <c r="L164" s="33">
        <v>0.7384705882352941</v>
      </c>
      <c r="M164" s="43">
        <v>0</v>
      </c>
      <c r="N164" s="33">
        <v>0.81823529411764695</v>
      </c>
      <c r="O164" s="33">
        <v>101.15905882352941</v>
      </c>
      <c r="P164" s="33">
        <v>38.841411764705882</v>
      </c>
      <c r="Q164" s="33">
        <v>15.912588235294116</v>
      </c>
      <c r="R164" s="33">
        <v>1.5558823529411765</v>
      </c>
      <c r="S164" s="33">
        <v>0.96611764705882341</v>
      </c>
      <c r="T164" s="33">
        <v>40.877176470588232</v>
      </c>
      <c r="U164" s="33">
        <v>0</v>
      </c>
      <c r="V164" s="33">
        <v>0</v>
      </c>
      <c r="W164" s="33">
        <v>152.0350588235294</v>
      </c>
      <c r="X164" s="33">
        <v>6.1571764705882357</v>
      </c>
      <c r="Y164" s="33">
        <v>32.793529411764709</v>
      </c>
      <c r="Z164" s="33">
        <v>1.2182352941176471</v>
      </c>
      <c r="AA164" s="33">
        <v>3.5039999999999996</v>
      </c>
      <c r="AB164" s="33">
        <v>7.8981176470588235</v>
      </c>
      <c r="AC164" s="43">
        <v>0</v>
      </c>
      <c r="AD164" s="33">
        <v>1.1996470588235293</v>
      </c>
      <c r="AE164" s="21">
        <v>0.27847058823529408</v>
      </c>
      <c r="AF164" s="33">
        <v>0.15776470588235292</v>
      </c>
      <c r="AG164" s="33">
        <v>0.1668235294117647</v>
      </c>
      <c r="AH164" s="33">
        <v>7.6117647058823526E-2</v>
      </c>
      <c r="AI164" s="33">
        <v>1.6762352941176468</v>
      </c>
    </row>
    <row r="165" spans="1:35" x14ac:dyDescent="0.3">
      <c r="A165" s="32" t="s">
        <v>1424</v>
      </c>
      <c r="B165" s="20" t="s">
        <v>1425</v>
      </c>
      <c r="C165" s="20" t="s">
        <v>146</v>
      </c>
      <c r="D165" s="20" t="s">
        <v>151</v>
      </c>
      <c r="E165" s="20">
        <v>2</v>
      </c>
      <c r="F165" s="20" t="s">
        <v>1379</v>
      </c>
      <c r="G165" s="46">
        <v>39.500000000000085</v>
      </c>
      <c r="H165" s="41" t="s">
        <v>1472</v>
      </c>
      <c r="I165" s="44">
        <f>SUM(J165:AI165)</f>
        <v>88.025176470588235</v>
      </c>
      <c r="J165" s="33">
        <v>0.19941176470588234</v>
      </c>
      <c r="K165" s="33">
        <v>0.22423529411764706</v>
      </c>
      <c r="L165" s="33">
        <v>0.372</v>
      </c>
      <c r="M165" s="43">
        <v>0</v>
      </c>
      <c r="N165" s="33">
        <v>0.19823529411764704</v>
      </c>
      <c r="O165" s="33">
        <v>16.023058823529411</v>
      </c>
      <c r="P165" s="33">
        <v>0.61058823529411765</v>
      </c>
      <c r="Q165" s="33">
        <v>8.9997647058823524</v>
      </c>
      <c r="R165" s="33">
        <v>0.47976470588235287</v>
      </c>
      <c r="S165" s="33">
        <v>0.22282352941176467</v>
      </c>
      <c r="T165" s="33">
        <v>7.0571764705882343</v>
      </c>
      <c r="U165" s="33">
        <v>0</v>
      </c>
      <c r="V165" s="33">
        <v>1.1882352941176471E-2</v>
      </c>
      <c r="W165" s="33">
        <v>24.108470588235292</v>
      </c>
      <c r="X165" s="33">
        <v>1.3544705882352939</v>
      </c>
      <c r="Y165" s="33">
        <v>22.803764705882351</v>
      </c>
      <c r="Z165" s="33">
        <v>1.452470588235294</v>
      </c>
      <c r="AA165" s="33">
        <v>0.30847058823529411</v>
      </c>
      <c r="AB165" s="33">
        <v>2.4745882352941173</v>
      </c>
      <c r="AC165" s="43">
        <v>0</v>
      </c>
      <c r="AD165" s="33">
        <v>0.24694117647058825</v>
      </c>
      <c r="AE165" s="21">
        <v>7.4117647058823524E-2</v>
      </c>
      <c r="AF165" s="33">
        <v>6.7411764705882352E-2</v>
      </c>
      <c r="AG165" s="33">
        <v>5.1764705882352942E-2</v>
      </c>
      <c r="AH165" s="33">
        <v>5.6705882352941168E-2</v>
      </c>
      <c r="AI165" s="33">
        <v>0.62705882352941167</v>
      </c>
    </row>
    <row r="166" spans="1:35" x14ac:dyDescent="0.3">
      <c r="A166" s="32" t="s">
        <v>1426</v>
      </c>
      <c r="B166" s="20" t="s">
        <v>1427</v>
      </c>
      <c r="C166" s="20" t="s">
        <v>146</v>
      </c>
      <c r="D166" s="20" t="s">
        <v>153</v>
      </c>
      <c r="E166" s="20">
        <v>2</v>
      </c>
      <c r="F166" s="20" t="s">
        <v>1379</v>
      </c>
      <c r="G166" s="46">
        <v>35.999999999999361</v>
      </c>
      <c r="H166" s="41" t="s">
        <v>1472</v>
      </c>
      <c r="I166" s="44">
        <f>SUM(J166:AI166)</f>
        <v>115.77423529411763</v>
      </c>
      <c r="J166" s="33">
        <v>0.21199999999999999</v>
      </c>
      <c r="K166" s="33">
        <v>0.29788235294117643</v>
      </c>
      <c r="L166" s="33">
        <v>0.58105882352941174</v>
      </c>
      <c r="M166" s="43">
        <v>0</v>
      </c>
      <c r="N166" s="33">
        <v>0.17376470588235293</v>
      </c>
      <c r="O166" s="33">
        <v>23.750470588235292</v>
      </c>
      <c r="P166" s="33">
        <v>6.7570588235294116</v>
      </c>
      <c r="Q166" s="33">
        <v>6.080117647058823</v>
      </c>
      <c r="R166" s="33">
        <v>0.93952941176470584</v>
      </c>
      <c r="S166" s="33">
        <v>0.23941176470588232</v>
      </c>
      <c r="T166" s="33">
        <v>8.6144705882352941</v>
      </c>
      <c r="U166" s="33">
        <v>0</v>
      </c>
      <c r="V166" s="33">
        <v>0</v>
      </c>
      <c r="W166" s="33">
        <v>38.845411764705879</v>
      </c>
      <c r="X166" s="33">
        <v>1.9376470588235295</v>
      </c>
      <c r="Y166" s="33">
        <v>22.25470588235294</v>
      </c>
      <c r="Z166" s="33">
        <v>1.4441176470588233</v>
      </c>
      <c r="AA166" s="33">
        <v>0.75482352941176456</v>
      </c>
      <c r="AB166" s="33">
        <v>1.716470588235294</v>
      </c>
      <c r="AC166" s="43">
        <v>0</v>
      </c>
      <c r="AD166" s="33">
        <v>0.42941176470588227</v>
      </c>
      <c r="AE166" s="21">
        <v>0.1116470588235294</v>
      </c>
      <c r="AF166" s="33">
        <v>5.6117647058823522E-2</v>
      </c>
      <c r="AG166" s="33">
        <v>0.12741176470588234</v>
      </c>
      <c r="AH166" s="33">
        <v>3.0823529411764701E-2</v>
      </c>
      <c r="AI166" s="33">
        <v>0.41988235294117643</v>
      </c>
    </row>
    <row r="167" spans="1:35" x14ac:dyDescent="0.3">
      <c r="A167" s="32" t="s">
        <v>1456</v>
      </c>
      <c r="B167" s="20" t="s">
        <v>1457</v>
      </c>
      <c r="C167" s="20" t="s">
        <v>261</v>
      </c>
      <c r="D167" s="20" t="s">
        <v>274</v>
      </c>
      <c r="E167" s="20">
        <v>2</v>
      </c>
      <c r="F167" s="20" t="s">
        <v>1379</v>
      </c>
      <c r="G167" s="46">
        <v>15.000000000000568</v>
      </c>
      <c r="H167" s="41" t="s">
        <v>1472</v>
      </c>
      <c r="I167" s="44">
        <f>SUM(J167:AI167)</f>
        <v>214.774</v>
      </c>
      <c r="J167" s="33">
        <v>0.33811764705882352</v>
      </c>
      <c r="K167" s="33">
        <v>0.64223529411764702</v>
      </c>
      <c r="L167" s="33">
        <v>0.69305882352941173</v>
      </c>
      <c r="M167" s="43">
        <v>0</v>
      </c>
      <c r="N167" s="33">
        <v>0.27105882352941174</v>
      </c>
      <c r="O167" s="33">
        <v>40.562588235294115</v>
      </c>
      <c r="P167" s="33">
        <v>7.6824705882352928</v>
      </c>
      <c r="Q167" s="33">
        <v>7.281411764705882</v>
      </c>
      <c r="R167" s="33">
        <v>1.5189411764705882</v>
      </c>
      <c r="S167" s="33">
        <v>0.34035294117647058</v>
      </c>
      <c r="T167" s="33">
        <v>14.350117647058822</v>
      </c>
      <c r="U167" s="33">
        <v>0</v>
      </c>
      <c r="V167" s="33">
        <v>2.764705882352941E-2</v>
      </c>
      <c r="W167" s="33">
        <v>94.982941176470575</v>
      </c>
      <c r="X167" s="33">
        <v>3.9294117647058822</v>
      </c>
      <c r="Y167" s="33">
        <v>31.058823529411764</v>
      </c>
      <c r="Z167" s="33">
        <v>1.6996470588235291</v>
      </c>
      <c r="AA167" s="33">
        <v>0.61199999999999988</v>
      </c>
      <c r="AB167" s="33">
        <v>5.1482352941176464</v>
      </c>
      <c r="AC167" s="43">
        <v>0</v>
      </c>
      <c r="AD167" s="33">
        <v>0.69388235294117639</v>
      </c>
      <c r="AE167" s="21">
        <v>9.3764705882352931E-2</v>
      </c>
      <c r="AF167" s="33">
        <v>0.11870588235294116</v>
      </c>
      <c r="AG167" s="33">
        <v>1.8385882352941176</v>
      </c>
      <c r="AH167" s="33">
        <v>5.1411764705882344E-2</v>
      </c>
      <c r="AI167" s="33">
        <v>0.83858823529411752</v>
      </c>
    </row>
    <row r="168" spans="1:35" x14ac:dyDescent="0.3">
      <c r="A168" s="32" t="s">
        <v>1458</v>
      </c>
      <c r="B168" s="20" t="s">
        <v>1459</v>
      </c>
      <c r="C168" s="20" t="s">
        <v>261</v>
      </c>
      <c r="D168" s="20" t="s">
        <v>276</v>
      </c>
      <c r="E168" s="20">
        <v>2</v>
      </c>
      <c r="F168" s="20" t="s">
        <v>1379</v>
      </c>
      <c r="G168" s="46">
        <v>12.499999999999734</v>
      </c>
      <c r="H168" s="41" t="s">
        <v>1472</v>
      </c>
      <c r="I168" s="44">
        <f>SUM(J168:AI168)</f>
        <v>592.49176470588213</v>
      </c>
      <c r="J168" s="33">
        <v>0.40670588235294108</v>
      </c>
      <c r="K168" s="33">
        <v>0.8587058823529411</v>
      </c>
      <c r="L168" s="33">
        <v>3.7988235294117647</v>
      </c>
      <c r="M168" s="43">
        <v>0</v>
      </c>
      <c r="N168" s="33">
        <v>0.79729411764705871</v>
      </c>
      <c r="O168" s="33">
        <v>128.27670588235293</v>
      </c>
      <c r="P168" s="33">
        <v>41.340235294117647</v>
      </c>
      <c r="Q168" s="33">
        <v>19.791647058823528</v>
      </c>
      <c r="R168" s="33">
        <v>13.344588235294117</v>
      </c>
      <c r="S168" s="33">
        <v>1.0865882352941176</v>
      </c>
      <c r="T168" s="33">
        <v>38.868000000000002</v>
      </c>
      <c r="U168" s="33">
        <v>2.8235294117647053E-2</v>
      </c>
      <c r="V168" s="33">
        <v>2.4588235294117643E-2</v>
      </c>
      <c r="W168" s="33">
        <v>241.32258823529409</v>
      </c>
      <c r="X168" s="33">
        <v>12.109294117647059</v>
      </c>
      <c r="Y168" s="33">
        <v>72.877882352941171</v>
      </c>
      <c r="Z168" s="33">
        <v>3.6752941176470588</v>
      </c>
      <c r="AA168" s="33">
        <v>3.5907058823529407</v>
      </c>
      <c r="AB168" s="33">
        <v>7.1616470588235286</v>
      </c>
      <c r="AC168" s="43">
        <v>0</v>
      </c>
      <c r="AD168" s="33">
        <v>1.1177647058823528</v>
      </c>
      <c r="AE168" s="21">
        <v>0.26070588235294112</v>
      </c>
      <c r="AF168" s="33">
        <v>0.19694117647058823</v>
      </c>
      <c r="AG168" s="33">
        <v>7.9647058823529404E-2</v>
      </c>
      <c r="AH168" s="33">
        <v>9.1999999999999998E-2</v>
      </c>
      <c r="AI168" s="33">
        <v>1.3851764705882352</v>
      </c>
    </row>
    <row r="169" spans="1:35" x14ac:dyDescent="0.3">
      <c r="A169" s="32" t="s">
        <v>1450</v>
      </c>
      <c r="B169" s="20" t="s">
        <v>1451</v>
      </c>
      <c r="C169" s="20" t="s">
        <v>261</v>
      </c>
      <c r="D169" s="20" t="s">
        <v>278</v>
      </c>
      <c r="E169" s="20">
        <v>2</v>
      </c>
      <c r="F169" s="20" t="s">
        <v>1379</v>
      </c>
      <c r="G169" s="46">
        <v>37.000000000000362</v>
      </c>
      <c r="H169" s="41" t="s">
        <v>1472</v>
      </c>
      <c r="I169" s="44">
        <f>SUM(J169:AI169)</f>
        <v>84.102117647058819</v>
      </c>
      <c r="J169" s="33">
        <v>0.21882352941176467</v>
      </c>
      <c r="K169" s="33">
        <v>0.29388235294117643</v>
      </c>
      <c r="L169" s="33">
        <v>0.56847058823529406</v>
      </c>
      <c r="M169" s="43">
        <v>0</v>
      </c>
      <c r="N169" s="33">
        <v>0.12223529411764705</v>
      </c>
      <c r="O169" s="33">
        <v>17.960470588235292</v>
      </c>
      <c r="P169" s="33">
        <v>2.9294117647058821E-2</v>
      </c>
      <c r="Q169" s="33">
        <v>9.5176470588235293E-2</v>
      </c>
      <c r="R169" s="33">
        <v>0.86941176470588222</v>
      </c>
      <c r="S169" s="33">
        <v>0.20458823529411763</v>
      </c>
      <c r="T169" s="33">
        <v>6.9336470588235288</v>
      </c>
      <c r="U169" s="33">
        <v>0</v>
      </c>
      <c r="V169" s="33">
        <v>0</v>
      </c>
      <c r="W169" s="33">
        <v>17.004588235294115</v>
      </c>
      <c r="X169" s="33">
        <v>1.1089411764705881</v>
      </c>
      <c r="Y169" s="33">
        <v>34.103058823529409</v>
      </c>
      <c r="Z169" s="33">
        <v>2.2104705882352937</v>
      </c>
      <c r="AA169" s="33">
        <v>0.22811764705882354</v>
      </c>
      <c r="AB169" s="33">
        <v>1.4702352941176469</v>
      </c>
      <c r="AC169" s="43">
        <v>0</v>
      </c>
      <c r="AD169" s="33">
        <v>0.20870588235294116</v>
      </c>
      <c r="AE169" s="21">
        <v>5.0470588235294121E-2</v>
      </c>
      <c r="AF169" s="33">
        <v>5.4117647058823527E-2</v>
      </c>
      <c r="AG169" s="33">
        <v>1.3647058823529411E-2</v>
      </c>
      <c r="AH169" s="33">
        <v>2.0823529411764706E-2</v>
      </c>
      <c r="AI169" s="33">
        <v>0.33294117647058818</v>
      </c>
    </row>
    <row r="170" spans="1:35" x14ac:dyDescent="0.3">
      <c r="A170" s="32" t="s">
        <v>1452</v>
      </c>
      <c r="B170" s="20" t="s">
        <v>1453</v>
      </c>
      <c r="C170" s="20" t="s">
        <v>261</v>
      </c>
      <c r="D170" s="20" t="s">
        <v>280</v>
      </c>
      <c r="E170" s="20">
        <v>2</v>
      </c>
      <c r="F170" s="20" t="s">
        <v>1379</v>
      </c>
      <c r="G170" s="46">
        <v>8.0000000000002292</v>
      </c>
      <c r="H170" s="41" t="s">
        <v>1472</v>
      </c>
      <c r="I170" s="44">
        <f>SUM(J170:AI170)</f>
        <v>891.10176470588226</v>
      </c>
      <c r="J170" s="33">
        <v>0.24082352941176466</v>
      </c>
      <c r="K170" s="33">
        <v>0.45211764705882346</v>
      </c>
      <c r="L170" s="33">
        <v>1.2097647058823529</v>
      </c>
      <c r="M170" s="43">
        <v>0</v>
      </c>
      <c r="N170" s="33">
        <v>0.4981176470588235</v>
      </c>
      <c r="O170" s="33">
        <v>176.81270588235293</v>
      </c>
      <c r="P170" s="33">
        <v>67.130941176470586</v>
      </c>
      <c r="Q170" s="33">
        <v>50.148588235294113</v>
      </c>
      <c r="R170" s="33">
        <v>6.117647058823529</v>
      </c>
      <c r="S170" s="33">
        <v>1.0507058823529412</v>
      </c>
      <c r="T170" s="33">
        <v>57.723176470588228</v>
      </c>
      <c r="U170" s="33">
        <v>4.5647058823529409E-2</v>
      </c>
      <c r="V170" s="33">
        <v>3.964705882352941E-2</v>
      </c>
      <c r="W170" s="33">
        <v>415.99847058823525</v>
      </c>
      <c r="X170" s="33">
        <v>16.250705882352939</v>
      </c>
      <c r="Y170" s="33">
        <v>68.729411764705873</v>
      </c>
      <c r="Z170" s="33">
        <v>3.793411764705882</v>
      </c>
      <c r="AA170" s="33">
        <v>5.2370588235294111</v>
      </c>
      <c r="AB170" s="33">
        <v>14.351529411764705</v>
      </c>
      <c r="AC170" s="43">
        <v>0</v>
      </c>
      <c r="AD170" s="33">
        <v>1.522</v>
      </c>
      <c r="AE170" s="21">
        <v>0.28317647058823531</v>
      </c>
      <c r="AF170" s="33">
        <v>0.31247058823529411</v>
      </c>
      <c r="AG170" s="33">
        <v>0.10611764705882352</v>
      </c>
      <c r="AH170" s="33">
        <v>0.12176470588235293</v>
      </c>
      <c r="AI170" s="33">
        <v>2.9257647058823526</v>
      </c>
    </row>
    <row r="171" spans="1:35" x14ac:dyDescent="0.3">
      <c r="A171" s="32" t="s">
        <v>1454</v>
      </c>
      <c r="B171" s="20" t="s">
        <v>1455</v>
      </c>
      <c r="C171" s="20" t="s">
        <v>261</v>
      </c>
      <c r="D171" s="20" t="s">
        <v>282</v>
      </c>
      <c r="E171" s="20">
        <v>2</v>
      </c>
      <c r="F171" s="20" t="s">
        <v>1379</v>
      </c>
      <c r="G171" s="46">
        <v>7.5000000000002842</v>
      </c>
      <c r="H171" s="41" t="s">
        <v>1472</v>
      </c>
      <c r="I171" s="44">
        <f>SUM(J171:AI171)</f>
        <v>384.74576470588232</v>
      </c>
      <c r="J171" s="33">
        <v>0.18447058823529411</v>
      </c>
      <c r="K171" s="33">
        <v>0.25164705882352939</v>
      </c>
      <c r="L171" s="33">
        <v>0.72270588235294109</v>
      </c>
      <c r="M171" s="43">
        <v>0</v>
      </c>
      <c r="N171" s="33">
        <v>0.34270588235294114</v>
      </c>
      <c r="O171" s="33">
        <v>70.295647058823519</v>
      </c>
      <c r="P171" s="33">
        <v>12.872470588235293</v>
      </c>
      <c r="Q171" s="33">
        <v>17.598117647058825</v>
      </c>
      <c r="R171" s="33">
        <v>2.9257647058823526</v>
      </c>
      <c r="S171" s="33">
        <v>0.62835294117647056</v>
      </c>
      <c r="T171" s="33">
        <v>30.382705882352941</v>
      </c>
      <c r="U171" s="33">
        <v>1.752941176470588E-2</v>
      </c>
      <c r="V171" s="33">
        <v>4.6588235294117646E-2</v>
      </c>
      <c r="W171" s="33">
        <v>171.66811764705881</v>
      </c>
      <c r="X171" s="33">
        <v>7.5784705882352936</v>
      </c>
      <c r="Y171" s="33">
        <v>47.909882352941167</v>
      </c>
      <c r="Z171" s="33">
        <v>1.8188235294117645</v>
      </c>
      <c r="AA171" s="33">
        <v>1.2058823529411764</v>
      </c>
      <c r="AB171" s="33">
        <v>14.187764705882351</v>
      </c>
      <c r="AC171" s="43">
        <v>0</v>
      </c>
      <c r="AD171" s="33">
        <v>0.42494117647058821</v>
      </c>
      <c r="AE171" s="21">
        <v>0.12258823529411764</v>
      </c>
      <c r="AF171" s="33">
        <v>0.17894117647058821</v>
      </c>
      <c r="AG171" s="33">
        <v>9.0470588235294108E-2</v>
      </c>
      <c r="AH171" s="33">
        <v>9.8941176470588241E-2</v>
      </c>
      <c r="AI171" s="33">
        <v>3.1922352941176473</v>
      </c>
    </row>
    <row r="172" spans="1:35" x14ac:dyDescent="0.3">
      <c r="A172" s="32" t="s">
        <v>1406</v>
      </c>
      <c r="B172" s="20" t="s">
        <v>1407</v>
      </c>
      <c r="C172" s="20" t="s">
        <v>20</v>
      </c>
      <c r="D172" s="20" t="s">
        <v>43</v>
      </c>
      <c r="E172" s="20">
        <v>6</v>
      </c>
      <c r="F172" s="20" t="s">
        <v>1379</v>
      </c>
      <c r="G172" s="46">
        <v>59.000000000000163</v>
      </c>
      <c r="H172" s="41" t="s">
        <v>1472</v>
      </c>
      <c r="I172" s="44">
        <f>SUM(J172:AI172)</f>
        <v>66.762352941176474</v>
      </c>
      <c r="J172" s="33">
        <v>0.23811764705882352</v>
      </c>
      <c r="K172" s="33">
        <v>0.24494117647058825</v>
      </c>
      <c r="L172" s="33">
        <v>0.32823529411764707</v>
      </c>
      <c r="M172" s="43">
        <v>0</v>
      </c>
      <c r="N172" s="33">
        <v>0.14376470588235293</v>
      </c>
      <c r="O172" s="33">
        <v>14.648941176470588</v>
      </c>
      <c r="P172" s="33">
        <v>0.50235294117647056</v>
      </c>
      <c r="Q172" s="33">
        <v>3.0731764705882352</v>
      </c>
      <c r="R172" s="33">
        <v>0.23</v>
      </c>
      <c r="S172" s="33">
        <v>0.23</v>
      </c>
      <c r="T172" s="33">
        <v>8.3423529411764701</v>
      </c>
      <c r="U172" s="33">
        <v>3.7411764705882353E-2</v>
      </c>
      <c r="V172" s="33">
        <v>2.764705882352941E-2</v>
      </c>
      <c r="W172" s="33">
        <v>12.771764705882351</v>
      </c>
      <c r="X172" s="33">
        <v>0.76458823529411768</v>
      </c>
      <c r="Y172" s="33">
        <v>19.445529411764706</v>
      </c>
      <c r="Z172" s="33">
        <v>1.0668235294117645</v>
      </c>
      <c r="AA172" s="33">
        <v>0.59352941176470586</v>
      </c>
      <c r="AB172" s="33">
        <v>2.5392941176470587</v>
      </c>
      <c r="AC172" s="43">
        <v>0</v>
      </c>
      <c r="AD172" s="33">
        <v>0.40905882352941175</v>
      </c>
      <c r="AE172" s="21">
        <v>9.6588235294117641E-2</v>
      </c>
      <c r="AF172" s="33">
        <v>8.9411764705882343E-2</v>
      </c>
      <c r="AG172" s="33">
        <v>0.25952941176470584</v>
      </c>
      <c r="AH172" s="33">
        <v>4.5529411764705881E-2</v>
      </c>
      <c r="AI172" s="33">
        <v>0.6337647058823529</v>
      </c>
    </row>
    <row r="173" spans="1:35" x14ac:dyDescent="0.3">
      <c r="A173" s="32" t="s">
        <v>1400</v>
      </c>
      <c r="B173" s="20" t="s">
        <v>1401</v>
      </c>
      <c r="C173" s="20" t="s">
        <v>20</v>
      </c>
      <c r="D173" s="20" t="s">
        <v>47</v>
      </c>
      <c r="E173" s="20">
        <v>6</v>
      </c>
      <c r="F173" s="20" t="s">
        <v>1379</v>
      </c>
      <c r="G173" s="46">
        <v>75.999999999999403</v>
      </c>
      <c r="H173" s="41" t="s">
        <v>1472</v>
      </c>
      <c r="I173" s="44">
        <f>SUM(J173:AI173)</f>
        <v>42.614000000000004</v>
      </c>
      <c r="J173" s="33">
        <v>0.29129411764705881</v>
      </c>
      <c r="K173" s="33">
        <v>0.28588235294117642</v>
      </c>
      <c r="L173" s="33">
        <v>0.31117647058823528</v>
      </c>
      <c r="M173" s="43">
        <v>0</v>
      </c>
      <c r="N173" s="33">
        <v>9.1529411764705873E-2</v>
      </c>
      <c r="O173" s="33">
        <v>11.442235294117646</v>
      </c>
      <c r="P173" s="33">
        <v>0.11352941176470588</v>
      </c>
      <c r="Q173" s="33">
        <v>1.3108235294117647</v>
      </c>
      <c r="R173" s="33">
        <v>0.2024705882352941</v>
      </c>
      <c r="S173" s="33">
        <v>0.11094117647058821</v>
      </c>
      <c r="T173" s="33">
        <v>3.6254117647058819</v>
      </c>
      <c r="U173" s="33">
        <v>0</v>
      </c>
      <c r="V173" s="33">
        <v>0</v>
      </c>
      <c r="W173" s="33">
        <v>6.7258823529411762</v>
      </c>
      <c r="X173" s="33">
        <v>0.52941176470588225</v>
      </c>
      <c r="Y173" s="33">
        <v>14.508941176470588</v>
      </c>
      <c r="Z173" s="33">
        <v>0.96741176470588219</v>
      </c>
      <c r="AA173" s="33">
        <v>0.21964705882352939</v>
      </c>
      <c r="AB173" s="33">
        <v>1.2325882352941175</v>
      </c>
      <c r="AC173" s="43">
        <v>0</v>
      </c>
      <c r="AD173" s="33">
        <v>0.19635294117647056</v>
      </c>
      <c r="AE173" s="21">
        <v>4.8235294117647057E-2</v>
      </c>
      <c r="AF173" s="33">
        <v>2.5999999999999999E-2</v>
      </c>
      <c r="AG173" s="33">
        <v>0.13105882352941176</v>
      </c>
      <c r="AH173" s="33">
        <v>0</v>
      </c>
      <c r="AI173" s="33">
        <v>0.24317647058823527</v>
      </c>
    </row>
    <row r="174" spans="1:35" x14ac:dyDescent="0.3">
      <c r="A174" s="32" t="s">
        <v>1402</v>
      </c>
      <c r="B174" s="20" t="s">
        <v>1403</v>
      </c>
      <c r="C174" s="20" t="s">
        <v>20</v>
      </c>
      <c r="D174" s="20" t="s">
        <v>49</v>
      </c>
      <c r="E174" s="20">
        <v>6</v>
      </c>
      <c r="F174" s="20" t="s">
        <v>1379</v>
      </c>
      <c r="G174" s="46">
        <v>81.499999999999915</v>
      </c>
      <c r="H174" s="41" t="s">
        <v>1472</v>
      </c>
      <c r="I174" s="44">
        <f>SUM(J174:AI174)</f>
        <v>47.311882352941169</v>
      </c>
      <c r="J174" s="33">
        <v>0.28788235294117642</v>
      </c>
      <c r="K174" s="33">
        <v>0.5488235294117646</v>
      </c>
      <c r="L174" s="33">
        <v>0.39211764705882346</v>
      </c>
      <c r="M174" s="43">
        <v>0</v>
      </c>
      <c r="N174" s="33">
        <v>0.10282352941176469</v>
      </c>
      <c r="O174" s="33">
        <v>11.445647058823528</v>
      </c>
      <c r="P174" s="33">
        <v>0.24670588235294114</v>
      </c>
      <c r="Q174" s="33">
        <v>2.2737647058823529</v>
      </c>
      <c r="R174" s="33">
        <v>0.19152941176470586</v>
      </c>
      <c r="S174" s="33">
        <v>0.11411764705882352</v>
      </c>
      <c r="T174" s="33">
        <v>4.0610588235294118</v>
      </c>
      <c r="U174" s="33">
        <v>0</v>
      </c>
      <c r="V174" s="33">
        <v>0</v>
      </c>
      <c r="W174" s="33">
        <v>8.7382352941176471</v>
      </c>
      <c r="X174" s="33">
        <v>0.64623529411764702</v>
      </c>
      <c r="Y174" s="33">
        <v>15.423294117647059</v>
      </c>
      <c r="Z174" s="33">
        <v>1.024470588235294</v>
      </c>
      <c r="AA174" s="33">
        <v>0.20423529411764704</v>
      </c>
      <c r="AB174" s="33">
        <v>1.044941176470588</v>
      </c>
      <c r="AC174" s="43">
        <v>0</v>
      </c>
      <c r="AD174" s="33">
        <v>0.18823529411764706</v>
      </c>
      <c r="AE174" s="21">
        <v>5.5764705882352938E-2</v>
      </c>
      <c r="AF174" s="33">
        <v>2.2588235294117645E-2</v>
      </c>
      <c r="AG174" s="33">
        <v>6.5529411764705878E-2</v>
      </c>
      <c r="AH174" s="33">
        <v>1.0117647058823528E-2</v>
      </c>
      <c r="AI174" s="33">
        <v>0.22376470588235292</v>
      </c>
    </row>
    <row r="175" spans="1:35" x14ac:dyDescent="0.3">
      <c r="A175" s="32" t="s">
        <v>1404</v>
      </c>
      <c r="B175" s="20" t="s">
        <v>1405</v>
      </c>
      <c r="C175" s="20" t="s">
        <v>20</v>
      </c>
      <c r="D175" s="20" t="s">
        <v>45</v>
      </c>
      <c r="E175" s="20">
        <v>6</v>
      </c>
      <c r="F175" s="20" t="s">
        <v>1379</v>
      </c>
      <c r="G175" s="46">
        <v>81.499999999999915</v>
      </c>
      <c r="H175" s="41" t="s">
        <v>1472</v>
      </c>
      <c r="I175" s="44">
        <f>SUM(J175:AI175)</f>
        <v>57.611058823529412</v>
      </c>
      <c r="J175" s="33">
        <v>0.26952941176470585</v>
      </c>
      <c r="K175" s="33">
        <v>0.47752941176470587</v>
      </c>
      <c r="L175" s="33">
        <v>0.44635294117647056</v>
      </c>
      <c r="M175" s="43">
        <v>0</v>
      </c>
      <c r="N175" s="33">
        <v>0.10941176470588233</v>
      </c>
      <c r="O175" s="33">
        <v>14.316588235294116</v>
      </c>
      <c r="P175" s="33">
        <v>0.24176470588235291</v>
      </c>
      <c r="Q175" s="33">
        <v>3.3964705882352941</v>
      </c>
      <c r="R175" s="33">
        <v>0.37282352941176472</v>
      </c>
      <c r="S175" s="33">
        <v>0.13835294117647057</v>
      </c>
      <c r="T175" s="33">
        <v>4.9808235294117642</v>
      </c>
      <c r="U175" s="33">
        <v>0</v>
      </c>
      <c r="V175" s="33">
        <v>2.9176470588235293E-2</v>
      </c>
      <c r="W175" s="33">
        <v>10.552470588235293</v>
      </c>
      <c r="X175" s="33">
        <v>0.7752941176470588</v>
      </c>
      <c r="Y175" s="33">
        <v>17.572352941176469</v>
      </c>
      <c r="Z175" s="33">
        <v>1.1059999999999999</v>
      </c>
      <c r="AA175" s="33">
        <v>0.29823529411764704</v>
      </c>
      <c r="AB175" s="33">
        <v>1.7058823529411762</v>
      </c>
      <c r="AC175" s="43">
        <v>0</v>
      </c>
      <c r="AD175" s="33">
        <v>0.22682352941176467</v>
      </c>
      <c r="AE175" s="21">
        <v>5.5764705882352938E-2</v>
      </c>
      <c r="AF175" s="33">
        <v>2.0588235294117647E-2</v>
      </c>
      <c r="AG175" s="33">
        <v>0.13247058823529409</v>
      </c>
      <c r="AH175" s="33">
        <v>8.1176470588235281E-3</v>
      </c>
      <c r="AI175" s="33">
        <v>0.378235294117647</v>
      </c>
    </row>
    <row r="176" spans="1:35" x14ac:dyDescent="0.3">
      <c r="A176" s="32" t="s">
        <v>1430</v>
      </c>
      <c r="B176" s="20" t="s">
        <v>1431</v>
      </c>
      <c r="C176" s="20" t="s">
        <v>146</v>
      </c>
      <c r="D176" s="20" t="s">
        <v>167</v>
      </c>
      <c r="E176" s="20">
        <v>6</v>
      </c>
      <c r="F176" s="20" t="s">
        <v>1379</v>
      </c>
      <c r="G176" s="46">
        <v>5.9999999999993392</v>
      </c>
      <c r="H176" s="41" t="s">
        <v>1472</v>
      </c>
      <c r="I176" s="44">
        <f>SUM(J176:AI176)</f>
        <v>50.530941176470584</v>
      </c>
      <c r="J176" s="33">
        <v>0.20317647058823529</v>
      </c>
      <c r="K176" s="33">
        <v>0.20729411764705882</v>
      </c>
      <c r="L176" s="33">
        <v>0.37152941176470583</v>
      </c>
      <c r="M176" s="43">
        <v>0</v>
      </c>
      <c r="N176" s="33">
        <v>0.13329411764705881</v>
      </c>
      <c r="O176" s="33">
        <v>10.371999999999998</v>
      </c>
      <c r="P176" s="33">
        <v>0.10682352941176469</v>
      </c>
      <c r="Q176" s="33">
        <v>1.3339999999999999</v>
      </c>
      <c r="R176" s="33">
        <v>0.32411764705882351</v>
      </c>
      <c r="S176" s="33">
        <v>0.15352941176470589</v>
      </c>
      <c r="T176" s="33">
        <v>6.1134117647058819</v>
      </c>
      <c r="U176" s="33">
        <v>0</v>
      </c>
      <c r="V176" s="33">
        <v>0</v>
      </c>
      <c r="W176" s="33">
        <v>11.695058823529411</v>
      </c>
      <c r="X176" s="33">
        <v>0.69199999999999995</v>
      </c>
      <c r="Y176" s="33">
        <v>15.218588235294115</v>
      </c>
      <c r="Z176" s="33">
        <v>0.83964705882352941</v>
      </c>
      <c r="AA176" s="33">
        <v>0.20023529411764704</v>
      </c>
      <c r="AB176" s="33">
        <v>1.7957647058823527</v>
      </c>
      <c r="AC176" s="43">
        <v>0</v>
      </c>
      <c r="AD176" s="33">
        <v>0.19329411764705881</v>
      </c>
      <c r="AE176" s="21">
        <v>6.7411764705882352E-2</v>
      </c>
      <c r="AF176" s="33">
        <v>6.6352941176470587E-2</v>
      </c>
      <c r="AG176" s="33">
        <v>4.4470588235294116E-2</v>
      </c>
      <c r="AH176" s="33">
        <v>2.3294117647058823E-2</v>
      </c>
      <c r="AI176" s="33">
        <v>0.37564705882352939</v>
      </c>
    </row>
    <row r="177" spans="1:35" x14ac:dyDescent="0.3">
      <c r="A177" s="32" t="s">
        <v>1432</v>
      </c>
      <c r="B177" s="20" t="s">
        <v>1433</v>
      </c>
      <c r="C177" s="20" t="s">
        <v>146</v>
      </c>
      <c r="D177" s="20" t="s">
        <v>169</v>
      </c>
      <c r="E177" s="20">
        <v>6</v>
      </c>
      <c r="F177" s="20" t="s">
        <v>1379</v>
      </c>
      <c r="G177" s="46">
        <v>11.999999999999789</v>
      </c>
      <c r="H177" s="41" t="s">
        <v>1472</v>
      </c>
      <c r="I177" s="44">
        <f>SUM(J177:AI177)</f>
        <v>241.71552941176472</v>
      </c>
      <c r="J177" s="33">
        <v>0.19129411764705881</v>
      </c>
      <c r="K177" s="33">
        <v>0.23035294117647057</v>
      </c>
      <c r="L177" s="33">
        <v>0.8198823529411764</v>
      </c>
      <c r="M177" s="43">
        <v>0</v>
      </c>
      <c r="N177" s="33">
        <v>0.69764705882352929</v>
      </c>
      <c r="O177" s="33">
        <v>56.005764705882349</v>
      </c>
      <c r="P177" s="33">
        <v>0.45117647058823529</v>
      </c>
      <c r="Q177" s="33">
        <v>2.3422352941176467</v>
      </c>
      <c r="R177" s="33">
        <v>2.0932941176470585</v>
      </c>
      <c r="S177" s="33">
        <v>1.3441176470588234</v>
      </c>
      <c r="T177" s="33">
        <v>42.013764705882352</v>
      </c>
      <c r="U177" s="33">
        <v>5.4117647058823527E-2</v>
      </c>
      <c r="V177" s="33">
        <v>6.2941176470588223E-2</v>
      </c>
      <c r="W177" s="33">
        <v>23.282941176470587</v>
      </c>
      <c r="X177" s="33">
        <v>3.3883529411764703</v>
      </c>
      <c r="Y177" s="33">
        <v>75.38905882352941</v>
      </c>
      <c r="Z177" s="33">
        <v>0.94164705882352928</v>
      </c>
      <c r="AA177" s="33">
        <v>0.31552941176470584</v>
      </c>
      <c r="AB177" s="33">
        <v>25.785647058823528</v>
      </c>
      <c r="AC177" s="43">
        <v>0</v>
      </c>
      <c r="AD177" s="33">
        <v>0.29541176470588232</v>
      </c>
      <c r="AE177" s="21">
        <v>0.14376470588235293</v>
      </c>
      <c r="AF177" s="33">
        <v>0.36494117647058821</v>
      </c>
      <c r="AG177" s="33">
        <v>8.1764705882352934E-2</v>
      </c>
      <c r="AH177" s="33">
        <v>0.19188235294117648</v>
      </c>
      <c r="AI177" s="33">
        <v>5.2279999999999998</v>
      </c>
    </row>
    <row r="178" spans="1:35" x14ac:dyDescent="0.3">
      <c r="A178" s="32" t="s">
        <v>1428</v>
      </c>
      <c r="B178" s="20" t="s">
        <v>1429</v>
      </c>
      <c r="C178" s="20" t="s">
        <v>146</v>
      </c>
      <c r="D178" s="20" t="s">
        <v>161</v>
      </c>
      <c r="E178" s="20">
        <v>6</v>
      </c>
      <c r="F178" s="20" t="s">
        <v>1379</v>
      </c>
      <c r="G178" s="46">
        <v>80.000000000000071</v>
      </c>
      <c r="H178" s="41" t="s">
        <v>1472</v>
      </c>
      <c r="I178" s="44">
        <f>SUM(J178:AI178)</f>
        <v>54.69164705882352</v>
      </c>
      <c r="J178" s="33">
        <v>0.3044705882352941</v>
      </c>
      <c r="K178" s="33">
        <v>0.77258823529411769</v>
      </c>
      <c r="L178" s="33">
        <v>0.50858823529411756</v>
      </c>
      <c r="M178" s="43">
        <v>0</v>
      </c>
      <c r="N178" s="33">
        <v>0.19705882352941176</v>
      </c>
      <c r="O178" s="33">
        <v>13.06</v>
      </c>
      <c r="P178" s="33">
        <v>0.20599999999999999</v>
      </c>
      <c r="Q178" s="33">
        <v>2.1855294117647057</v>
      </c>
      <c r="R178" s="33">
        <v>0.30129411764705882</v>
      </c>
      <c r="S178" s="33">
        <v>0.13552941176470587</v>
      </c>
      <c r="T178" s="33">
        <v>3.8188235294117643</v>
      </c>
      <c r="U178" s="33">
        <v>0</v>
      </c>
      <c r="V178" s="33">
        <v>0</v>
      </c>
      <c r="W178" s="33">
        <v>11.609647058823528</v>
      </c>
      <c r="X178" s="33">
        <v>0.74141176470588233</v>
      </c>
      <c r="Y178" s="33">
        <v>17.666117647058822</v>
      </c>
      <c r="Z178" s="33">
        <v>1.350235294117647</v>
      </c>
      <c r="AA178" s="33">
        <v>0.42152941176470587</v>
      </c>
      <c r="AB178" s="33">
        <v>0.55094117647058816</v>
      </c>
      <c r="AC178" s="43">
        <v>0</v>
      </c>
      <c r="AD178" s="33">
        <v>0.40199999999999997</v>
      </c>
      <c r="AE178" s="21">
        <v>9.3176470588235291E-2</v>
      </c>
      <c r="AF178" s="33">
        <v>2.2588235294117645E-2</v>
      </c>
      <c r="AG178" s="33">
        <v>0.2276470588235294</v>
      </c>
      <c r="AH178" s="33">
        <v>0</v>
      </c>
      <c r="AI178" s="33">
        <v>0.11647058823529412</v>
      </c>
    </row>
    <row r="179" spans="1:35" x14ac:dyDescent="0.3">
      <c r="A179" s="32" t="s">
        <v>1434</v>
      </c>
      <c r="B179" s="20" t="s">
        <v>1435</v>
      </c>
      <c r="C179" s="20" t="s">
        <v>146</v>
      </c>
      <c r="D179" s="20" t="s">
        <v>163</v>
      </c>
      <c r="E179" s="20">
        <v>6</v>
      </c>
      <c r="F179" s="20" t="s">
        <v>1379</v>
      </c>
      <c r="G179" s="46">
        <v>18.500000000000181</v>
      </c>
      <c r="H179" s="41" t="s">
        <v>1472</v>
      </c>
      <c r="I179" s="44">
        <f>SUM(J179:AI179)</f>
        <v>122.97776470588235</v>
      </c>
      <c r="J179" s="33">
        <v>0.22376470588235292</v>
      </c>
      <c r="K179" s="33">
        <v>0.35964705882352938</v>
      </c>
      <c r="L179" s="33">
        <v>0.66458823529411759</v>
      </c>
      <c r="M179" s="43">
        <v>0</v>
      </c>
      <c r="N179" s="33">
        <v>0.4845882352941176</v>
      </c>
      <c r="O179" s="33">
        <v>24.318588235294115</v>
      </c>
      <c r="P179" s="33">
        <v>0.93176470588235294</v>
      </c>
      <c r="Q179" s="33">
        <v>7.1987058823529413</v>
      </c>
      <c r="R179" s="33">
        <v>0.55564705882352938</v>
      </c>
      <c r="S179" s="33">
        <v>0.51929411764705879</v>
      </c>
      <c r="T179" s="33">
        <v>15.700352941176469</v>
      </c>
      <c r="U179" s="33">
        <v>4.9411764705882343E-2</v>
      </c>
      <c r="V179" s="33">
        <v>8.9764705882352927E-2</v>
      </c>
      <c r="W179" s="33">
        <v>21.924117647058821</v>
      </c>
      <c r="X179" s="33">
        <v>1.7695294117647056</v>
      </c>
      <c r="Y179" s="33">
        <v>36.298588235294112</v>
      </c>
      <c r="Z179" s="33">
        <v>1.8659999999999999</v>
      </c>
      <c r="AA179" s="33">
        <v>0.50458823529411756</v>
      </c>
      <c r="AB179" s="33">
        <v>6.8936470588235297</v>
      </c>
      <c r="AC179" s="43">
        <v>0</v>
      </c>
      <c r="AD179" s="33">
        <v>0.53670588235294114</v>
      </c>
      <c r="AE179" s="21">
        <v>0.13999999999999999</v>
      </c>
      <c r="AF179" s="33">
        <v>0.19705882352941176</v>
      </c>
      <c r="AG179" s="33">
        <v>0.27388235294117641</v>
      </c>
      <c r="AH179" s="33">
        <v>8.6470588235294105E-2</v>
      </c>
      <c r="AI179" s="33">
        <v>1.3910588235294117</v>
      </c>
    </row>
    <row r="180" spans="1:35" x14ac:dyDescent="0.3">
      <c r="A180" s="32" t="s">
        <v>1436</v>
      </c>
      <c r="B180" s="20" t="s">
        <v>1437</v>
      </c>
      <c r="C180" s="20" t="s">
        <v>146</v>
      </c>
      <c r="D180" s="20" t="s">
        <v>165</v>
      </c>
      <c r="E180" s="20">
        <v>6</v>
      </c>
      <c r="F180" s="20" t="s">
        <v>1379</v>
      </c>
      <c r="G180" s="46">
        <v>19.500000000000071</v>
      </c>
      <c r="H180" s="41" t="s">
        <v>1472</v>
      </c>
      <c r="I180" s="44">
        <f>SUM(J180:AI180)</f>
        <v>68.472941176470584</v>
      </c>
      <c r="J180" s="33">
        <v>0.21682352941176466</v>
      </c>
      <c r="K180" s="33">
        <v>0.25505882352941178</v>
      </c>
      <c r="L180" s="33">
        <v>0.60458823529411754</v>
      </c>
      <c r="M180" s="43">
        <v>0</v>
      </c>
      <c r="N180" s="33">
        <v>0.74317647058823533</v>
      </c>
      <c r="O180" s="33">
        <v>15.765411764705881</v>
      </c>
      <c r="P180" s="33">
        <v>0.86258823529411754</v>
      </c>
      <c r="Q180" s="33">
        <v>11.527294117647058</v>
      </c>
      <c r="R180" s="33">
        <v>0.41599999999999998</v>
      </c>
      <c r="S180" s="33">
        <v>0.33164705882352941</v>
      </c>
      <c r="T180" s="33">
        <v>6.8776470588235288</v>
      </c>
      <c r="U180" s="33">
        <v>0</v>
      </c>
      <c r="V180" s="33">
        <v>0</v>
      </c>
      <c r="W180" s="33">
        <v>12.458823529411763</v>
      </c>
      <c r="X180" s="33">
        <v>0.97058823529411764</v>
      </c>
      <c r="Y180" s="33">
        <v>12.041058823529411</v>
      </c>
      <c r="Z180" s="33">
        <v>0.55247058823529405</v>
      </c>
      <c r="AA180" s="33">
        <v>0.72870588235294109</v>
      </c>
      <c r="AB180" s="33">
        <v>2.4438823529411762</v>
      </c>
      <c r="AC180" s="43">
        <v>0</v>
      </c>
      <c r="AD180" s="33">
        <v>0.67164705882352937</v>
      </c>
      <c r="AE180" s="21">
        <v>0.15082352941176469</v>
      </c>
      <c r="AF180" s="33">
        <v>5.9411764705882344E-2</v>
      </c>
      <c r="AG180" s="33">
        <v>0.2869411764705882</v>
      </c>
      <c r="AH180" s="33">
        <v>2.8470588235294112E-2</v>
      </c>
      <c r="AI180" s="33">
        <v>0.47988235294117643</v>
      </c>
    </row>
    <row r="181" spans="1:35" x14ac:dyDescent="0.3">
      <c r="A181" s="32" t="s">
        <v>1466</v>
      </c>
      <c r="B181" s="20" t="s">
        <v>1467</v>
      </c>
      <c r="C181" s="20" t="s">
        <v>261</v>
      </c>
      <c r="D181" s="20" t="s">
        <v>284</v>
      </c>
      <c r="E181" s="20">
        <v>6</v>
      </c>
      <c r="F181" s="20" t="s">
        <v>1379</v>
      </c>
      <c r="G181" s="46">
        <v>25.49999999999941</v>
      </c>
      <c r="H181" s="41" t="s">
        <v>1472</v>
      </c>
      <c r="I181" s="44">
        <f>SUM(J181:AI181)</f>
        <v>79.465764705882378</v>
      </c>
      <c r="J181" s="33">
        <v>0.442235294117647</v>
      </c>
      <c r="K181" s="33">
        <v>0.7344705882352941</v>
      </c>
      <c r="L181" s="33">
        <v>1.2868235294117647</v>
      </c>
      <c r="M181" s="43">
        <v>0</v>
      </c>
      <c r="N181" s="33">
        <v>0.63188235294117645</v>
      </c>
      <c r="O181" s="33">
        <v>23.575764705882353</v>
      </c>
      <c r="P181" s="33">
        <v>0.56976470588235295</v>
      </c>
      <c r="Q181" s="33">
        <v>2.7914117647058823</v>
      </c>
      <c r="R181" s="33">
        <v>0.90882352941176459</v>
      </c>
      <c r="S181" s="33">
        <v>0.2929411764705882</v>
      </c>
      <c r="T181" s="33">
        <v>6.2263529411764704</v>
      </c>
      <c r="U181" s="33">
        <v>0</v>
      </c>
      <c r="V181" s="33">
        <v>0</v>
      </c>
      <c r="W181" s="33">
        <v>12.403647058823529</v>
      </c>
      <c r="X181" s="33">
        <v>1.1788235294117646</v>
      </c>
      <c r="Y181" s="33">
        <v>23.649882352941177</v>
      </c>
      <c r="Z181" s="33">
        <v>1.3983529411764704</v>
      </c>
      <c r="AA181" s="33">
        <v>0.35364705882352937</v>
      </c>
      <c r="AB181" s="33">
        <v>2.06</v>
      </c>
      <c r="AC181" s="43">
        <v>0</v>
      </c>
      <c r="AD181" s="33">
        <v>0.30494117647058822</v>
      </c>
      <c r="AE181" s="21">
        <v>8.5529411764705882E-2</v>
      </c>
      <c r="AF181" s="33">
        <v>3.9411764705882354E-2</v>
      </c>
      <c r="AG181" s="33">
        <v>0.16729411764705882</v>
      </c>
      <c r="AH181" s="33">
        <v>1.1764705882352941E-2</v>
      </c>
      <c r="AI181" s="33">
        <v>0.35199999999999998</v>
      </c>
    </row>
    <row r="182" spans="1:35" x14ac:dyDescent="0.3">
      <c r="A182" s="32" t="s">
        <v>1468</v>
      </c>
      <c r="B182" s="20" t="s">
        <v>1469</v>
      </c>
      <c r="C182" s="20" t="s">
        <v>261</v>
      </c>
      <c r="D182" s="20" t="s">
        <v>286</v>
      </c>
      <c r="E182" s="20">
        <v>6</v>
      </c>
      <c r="F182" s="20" t="s">
        <v>1379</v>
      </c>
      <c r="G182" s="46">
        <v>32.499999999999751</v>
      </c>
      <c r="H182" s="41" t="s">
        <v>1472</v>
      </c>
      <c r="I182" s="44">
        <f>SUM(J182:AI182)</f>
        <v>119.55823529411765</v>
      </c>
      <c r="J182" s="33">
        <v>0.31294117647058817</v>
      </c>
      <c r="K182" s="33">
        <v>0.39305882352941174</v>
      </c>
      <c r="L182" s="33">
        <v>1.4937647058823529</v>
      </c>
      <c r="M182" s="43">
        <v>0</v>
      </c>
      <c r="N182" s="33">
        <v>0.26905882352941174</v>
      </c>
      <c r="O182" s="33">
        <v>29.392823529411764</v>
      </c>
      <c r="P182" s="33">
        <v>0.21011764705882352</v>
      </c>
      <c r="Q182" s="33">
        <v>1.9995294117647058</v>
      </c>
      <c r="R182" s="33">
        <v>2.705411764705882</v>
      </c>
      <c r="S182" s="33">
        <v>0.28764705882352937</v>
      </c>
      <c r="T182" s="33">
        <v>9.5952941176470574</v>
      </c>
      <c r="U182" s="33">
        <v>0</v>
      </c>
      <c r="V182" s="33">
        <v>3.4823529411764705E-2</v>
      </c>
      <c r="W182" s="33">
        <v>29.919058823529411</v>
      </c>
      <c r="X182" s="33">
        <v>1.9552941176470584</v>
      </c>
      <c r="Y182" s="33">
        <v>35.555764705882353</v>
      </c>
      <c r="Z182" s="33">
        <v>2.1150588235294117</v>
      </c>
      <c r="AA182" s="33">
        <v>0.32752941176470585</v>
      </c>
      <c r="AB182" s="33">
        <v>2.1291764705882352</v>
      </c>
      <c r="AC182" s="43">
        <v>0</v>
      </c>
      <c r="AD182" s="33">
        <v>0.27800000000000002</v>
      </c>
      <c r="AE182" s="21">
        <v>9.035294117647058E-2</v>
      </c>
      <c r="AF182" s="33">
        <v>6.6352941176470587E-2</v>
      </c>
      <c r="AG182" s="33">
        <v>8.0705882352941169E-2</v>
      </c>
      <c r="AH182" s="33">
        <v>7.8823529411764705E-3</v>
      </c>
      <c r="AI182" s="33">
        <v>0.33858823529411763</v>
      </c>
    </row>
    <row r="183" spans="1:35" x14ac:dyDescent="0.3">
      <c r="A183" s="32" t="s">
        <v>1460</v>
      </c>
      <c r="B183" s="20" t="s">
        <v>1461</v>
      </c>
      <c r="C183" s="20" t="s">
        <v>261</v>
      </c>
      <c r="D183" s="20" t="s">
        <v>290</v>
      </c>
      <c r="E183" s="20">
        <v>6</v>
      </c>
      <c r="F183" s="20" t="s">
        <v>1379</v>
      </c>
      <c r="G183" s="46">
        <v>24.999999999999467</v>
      </c>
      <c r="H183" s="41" t="s">
        <v>1472</v>
      </c>
      <c r="I183" s="44">
        <f>SUM(J183:AI183)</f>
        <v>62.224235294117655</v>
      </c>
      <c r="J183" s="33">
        <v>0.41023529411764703</v>
      </c>
      <c r="K183" s="33">
        <v>0.67752941176470582</v>
      </c>
      <c r="L183" s="33">
        <v>0.72576470588235287</v>
      </c>
      <c r="M183" s="43">
        <v>0</v>
      </c>
      <c r="N183" s="33">
        <v>0.17811764705882352</v>
      </c>
      <c r="O183" s="33">
        <v>17.294117647058822</v>
      </c>
      <c r="P183" s="33">
        <v>0.16729411764705882</v>
      </c>
      <c r="Q183" s="33">
        <v>5.7603529411764702</v>
      </c>
      <c r="R183" s="33">
        <v>0.58258823529411763</v>
      </c>
      <c r="S183" s="33">
        <v>0.20752941176470585</v>
      </c>
      <c r="T183" s="33">
        <v>6.69470588235294</v>
      </c>
      <c r="U183" s="33">
        <v>0</v>
      </c>
      <c r="V183" s="33">
        <v>0</v>
      </c>
      <c r="W183" s="33">
        <v>8.664470588235293</v>
      </c>
      <c r="X183" s="33">
        <v>0.80741176470588227</v>
      </c>
      <c r="Y183" s="33">
        <v>15.386941176470588</v>
      </c>
      <c r="Z183" s="33">
        <v>0.72082352941176464</v>
      </c>
      <c r="AA183" s="33">
        <v>0.1628235294117647</v>
      </c>
      <c r="AB183" s="33">
        <v>2.8763529411764703</v>
      </c>
      <c r="AC183" s="43">
        <v>0</v>
      </c>
      <c r="AD183" s="33">
        <v>0.18494117647058825</v>
      </c>
      <c r="AE183" s="21">
        <v>5.5764705882352938E-2</v>
      </c>
      <c r="AF183" s="33">
        <v>6.541176470588235E-2</v>
      </c>
      <c r="AG183" s="33">
        <v>0.11435294117647057</v>
      </c>
      <c r="AH183" s="33">
        <v>7.5294117647058826E-3</v>
      </c>
      <c r="AI183" s="33">
        <v>0.47917647058823526</v>
      </c>
    </row>
    <row r="184" spans="1:35" x14ac:dyDescent="0.3">
      <c r="A184" s="32" t="s">
        <v>1462</v>
      </c>
      <c r="B184" s="20" t="s">
        <v>1463</v>
      </c>
      <c r="C184" s="20" t="s">
        <v>261</v>
      </c>
      <c r="D184" s="20" t="s">
        <v>292</v>
      </c>
      <c r="E184" s="20">
        <v>6</v>
      </c>
      <c r="F184" s="20" t="s">
        <v>1379</v>
      </c>
      <c r="G184" s="46">
        <v>18.500000000000181</v>
      </c>
      <c r="H184" s="41" t="s">
        <v>1472</v>
      </c>
      <c r="I184" s="44">
        <f>SUM(J184:AI184)</f>
        <v>175.01435294117647</v>
      </c>
      <c r="J184" s="33">
        <v>0.36670588235294116</v>
      </c>
      <c r="K184" s="33">
        <v>0.50564705882352934</v>
      </c>
      <c r="L184" s="33">
        <v>1.6504705882352939</v>
      </c>
      <c r="M184" s="43">
        <v>0</v>
      </c>
      <c r="N184" s="33">
        <v>0.26976470588235291</v>
      </c>
      <c r="O184" s="33">
        <v>54.358705882352936</v>
      </c>
      <c r="P184" s="33">
        <v>0.91611764705882337</v>
      </c>
      <c r="Q184" s="33">
        <v>6.7702352941176471</v>
      </c>
      <c r="R184" s="33">
        <v>3.4331764705882355</v>
      </c>
      <c r="S184" s="33">
        <v>0.34988235294117642</v>
      </c>
      <c r="T184" s="33">
        <v>15.290117647058823</v>
      </c>
      <c r="U184" s="33">
        <v>4.058823529411764E-2</v>
      </c>
      <c r="V184" s="33">
        <v>8.3058823529411768E-2</v>
      </c>
      <c r="W184" s="33">
        <v>37.731176470588231</v>
      </c>
      <c r="X184" s="33">
        <v>2.6568235294117644</v>
      </c>
      <c r="Y184" s="33">
        <v>37.941529411764698</v>
      </c>
      <c r="Z184" s="33">
        <v>1.1391764705882352</v>
      </c>
      <c r="AA184" s="33">
        <v>0.30729411764705883</v>
      </c>
      <c r="AB184" s="33">
        <v>9.2190588235294104</v>
      </c>
      <c r="AC184" s="43">
        <v>0</v>
      </c>
      <c r="AD184" s="33">
        <v>0.19117647058823528</v>
      </c>
      <c r="AE184" s="21">
        <v>5.4352941176470583E-2</v>
      </c>
      <c r="AF184" s="33">
        <v>7.7764705882352944E-2</v>
      </c>
      <c r="AG184" s="33">
        <v>5.0823529411764705E-2</v>
      </c>
      <c r="AH184" s="33">
        <v>5.6588235294117641E-2</v>
      </c>
      <c r="AI184" s="33">
        <v>1.5541176470588234</v>
      </c>
    </row>
    <row r="185" spans="1:35" x14ac:dyDescent="0.3">
      <c r="A185" s="34" t="s">
        <v>1464</v>
      </c>
      <c r="B185" s="25" t="s">
        <v>1465</v>
      </c>
      <c r="C185" s="25" t="s">
        <v>261</v>
      </c>
      <c r="D185" s="25" t="s">
        <v>288</v>
      </c>
      <c r="E185" s="25">
        <v>6</v>
      </c>
      <c r="F185" s="25" t="s">
        <v>1379</v>
      </c>
      <c r="G185" s="47">
        <v>9.000000000000119</v>
      </c>
      <c r="H185" s="41" t="s">
        <v>1472</v>
      </c>
      <c r="I185" s="45">
        <f>SUM(J185:AI185)</f>
        <v>681.06341176470596</v>
      </c>
      <c r="J185" s="35">
        <v>0.32282352941176468</v>
      </c>
      <c r="K185" s="35">
        <v>0.63141176470588234</v>
      </c>
      <c r="L185" s="35">
        <v>2.0455294117647056</v>
      </c>
      <c r="M185" s="52">
        <v>0</v>
      </c>
      <c r="N185" s="35">
        <v>0.64964705882352936</v>
      </c>
      <c r="O185" s="35">
        <v>130.46470588235292</v>
      </c>
      <c r="P185" s="35">
        <v>12.307176470588235</v>
      </c>
      <c r="Q185" s="35">
        <v>29.665882352941171</v>
      </c>
      <c r="R185" s="35">
        <v>7.4455294117647055</v>
      </c>
      <c r="S185" s="35">
        <v>1.0401176470588234</v>
      </c>
      <c r="T185" s="35">
        <v>43.721294117647055</v>
      </c>
      <c r="U185" s="35">
        <v>0.15470588235294117</v>
      </c>
      <c r="V185" s="35">
        <v>0.20188235294117648</v>
      </c>
      <c r="W185" s="35">
        <v>309.59635294117646</v>
      </c>
      <c r="X185" s="35">
        <v>13.632352941176469</v>
      </c>
      <c r="Y185" s="35">
        <v>90.337999999999994</v>
      </c>
      <c r="Z185" s="35">
        <v>2.9892941176470584</v>
      </c>
      <c r="AA185" s="35">
        <v>1.8037647058823529</v>
      </c>
      <c r="AB185" s="35">
        <v>27.450941176470586</v>
      </c>
      <c r="AC185" s="52">
        <v>0</v>
      </c>
      <c r="AD185" s="35">
        <v>0.61941176470588233</v>
      </c>
      <c r="AE185" s="26">
        <v>0.16788235294117645</v>
      </c>
      <c r="AF185" s="35">
        <v>0.22905882352941176</v>
      </c>
      <c r="AG185" s="35">
        <v>6.6470588235294115E-2</v>
      </c>
      <c r="AH185" s="35">
        <v>0.13388235294117645</v>
      </c>
      <c r="AI185" s="35">
        <v>5.3852941176470583</v>
      </c>
    </row>
    <row r="186" spans="1:35" x14ac:dyDescent="0.3">
      <c r="A186" s="53"/>
      <c r="B186" s="53"/>
      <c r="C186" s="53"/>
      <c r="D186" s="53"/>
      <c r="E186" s="53"/>
      <c r="F186" s="53"/>
      <c r="G186" s="53"/>
      <c r="H186" s="53"/>
      <c r="I186" s="54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  <c r="AA186" s="55"/>
      <c r="AB186" s="55"/>
      <c r="AC186" s="55"/>
      <c r="AD186" s="55"/>
      <c r="AE186" s="55"/>
      <c r="AF186" s="55"/>
      <c r="AG186" s="55"/>
      <c r="AH186" s="55"/>
      <c r="AI186" s="55"/>
    </row>
  </sheetData>
  <phoneticPr fontId="9" type="noConversion"/>
  <conditionalFormatting sqref="D1">
    <cfRule type="containsText" dxfId="0" priority="2" stopIfTrue="1" operator="containsText" text="OMM7">
      <formula>NOT(ISERROR(SEARCH("OMM7",D1)))</formula>
    </cfRule>
  </conditionalFormatting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March 2020 Data</vt:lpstr>
      <vt:lpstr>Oct 2020 Bile fluid</vt:lpstr>
      <vt:lpstr>Oct 2020 gut contents</vt:lpstr>
      <vt:lpstr>'March 2020 Data'!Drucktitel</vt:lpstr>
    </vt:vector>
  </TitlesOfParts>
  <Company>TUM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Plagge</dc:creator>
  <cp:lastModifiedBy>Johannes Plagge</cp:lastModifiedBy>
  <dcterms:created xsi:type="dcterms:W3CDTF">2020-03-10T09:28:35Z</dcterms:created>
  <dcterms:modified xsi:type="dcterms:W3CDTF">2020-10-26T17:12:18Z</dcterms:modified>
</cp:coreProperties>
</file>